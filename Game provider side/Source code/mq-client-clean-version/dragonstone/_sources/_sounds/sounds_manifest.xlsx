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D:\actiongames\dragonstone\_sources\_sounds\"/>
    </mc:Choice>
  </mc:AlternateContent>
  <xr:revisionPtr revIDLastSave="0" documentId="13_ncr:1_{1C49D792-9AC7-4F14-8968-1388D0DE6BBD}" xr6:coauthVersionLast="47" xr6:coauthVersionMax="47" xr10:uidLastSave="{00000000-0000-0000-0000-000000000000}"/>
  <bookViews>
    <workbookView xWindow="-120" yWindow="-120" windowWidth="29040" windowHeight="15840" xr2:uid="{33CFF9F8-9F59-479A-ACDE-42F2733D2D47}"/>
  </bookViews>
  <sheets>
    <sheet name="Лист1" sheetId="1" r:id="rId1"/>
  </sheets>
  <definedNames>
    <definedName name="bugnotes" localSheetId="0">Лист1!$F$88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131" i="1" l="1"/>
  <c r="B131" i="1"/>
  <c r="C8" i="1" l="1"/>
  <c r="C133" i="1" s="1"/>
  <c r="B8" i="1" l="1"/>
  <c r="B133" i="1" s="1"/>
</calcChain>
</file>

<file path=xl/sharedStrings.xml><?xml version="1.0" encoding="utf-8"?>
<sst xmlns="http://schemas.openxmlformats.org/spreadsheetml/2006/main" count="364" uniqueCount="278">
  <si>
    <t>mq_gui_launch.mp3</t>
  </si>
  <si>
    <t>mq_gui_slider.mp3</t>
  </si>
  <si>
    <t>mq_mus_lobby_bg.mp3</t>
  </si>
  <si>
    <t>LOBBY sounds</t>
  </si>
  <si>
    <t>GAME sounds</t>
  </si>
  <si>
    <t>bg_music</t>
  </si>
  <si>
    <t>enemies</t>
  </si>
  <si>
    <t>weapons/artillery_strike</t>
  </si>
  <si>
    <t>artillery_explosion.mp3</t>
  </si>
  <si>
    <t>artillery_strikes_flying.mp3</t>
  </si>
  <si>
    <t>bomb_flying.mp3</t>
  </si>
  <si>
    <t>bomb_smoking.mp3</t>
  </si>
  <si>
    <t>weapons/cryo_gun</t>
  </si>
  <si>
    <t>cryo_gun_charge.mp3</t>
  </si>
  <si>
    <t>cryo_gun_shot.mp3</t>
  </si>
  <si>
    <t>cryo_gun_unfreeze.mp3</t>
  </si>
  <si>
    <t>weapons/default</t>
  </si>
  <si>
    <t>weapons/flamethrower</t>
  </si>
  <si>
    <t>flamethrower_shot.mp3</t>
  </si>
  <si>
    <t>weapons/flyby</t>
  </si>
  <si>
    <t>mq_guns_bullets_flyby_1.mp3</t>
  </si>
  <si>
    <t>mq_guns_bullets_flyby_2.mp3</t>
  </si>
  <si>
    <t>mq_guns_bullets_flyby_3.mp3</t>
  </si>
  <si>
    <t>mq_guns_bullets_flyby_4.mp3</t>
  </si>
  <si>
    <t>mq_guns_bullets_flyby_5.mp3</t>
  </si>
  <si>
    <t>mq_guns_bullets_flyby_6.mp3</t>
  </si>
  <si>
    <t>mq_guns_bullets_flyby_7.mp3</t>
  </si>
  <si>
    <t>mq_guns_bullets_flyby_8.mp3</t>
  </si>
  <si>
    <t>weapons/mine_launcher</t>
  </si>
  <si>
    <t>mine_launcher_arm.mp3</t>
  </si>
  <si>
    <t>mine_launcher_hit.mp3</t>
  </si>
  <si>
    <t>mine_launcher_shot.mp3</t>
  </si>
  <si>
    <t>Mine_Launcher_trigger_beeps_pitched_up.mp3</t>
  </si>
  <si>
    <t>weapons/plasma</t>
  </si>
  <si>
    <t>plasma_powerup.mp3</t>
  </si>
  <si>
    <t>plasma_shot.mp3</t>
  </si>
  <si>
    <t>plasma_target.mp3</t>
  </si>
  <si>
    <t>weapons/railgun</t>
  </si>
  <si>
    <t>railgun_shot.mp3</t>
  </si>
  <si>
    <t>wins</t>
  </si>
  <si>
    <t>wins/booster</t>
  </si>
  <si>
    <t>mq_booster_crate_landing.mp3</t>
  </si>
  <si>
    <t>mq_booster_end.mp3</t>
  </si>
  <si>
    <t>weapon_drop.mp3</t>
  </si>
  <si>
    <t>10secleft.mp3</t>
  </si>
  <si>
    <t>orig sound name</t>
  </si>
  <si>
    <t>source file path</t>
  </si>
  <si>
    <t>/PTM/PTM/Undiscovered/Provides/DesktopProvide/Audio/2019AudioUpdatesAndFXReduction/Max Quest Audio Manifest update.zip</t>
  </si>
  <si>
    <t>source file modifications</t>
  </si>
  <si>
    <t>/PTM/PTM/Undiscovered/Provides/DesktopProvide/Audio/Batch 2.zip</t>
  </si>
  <si>
    <t>/PTM/PTM/Undiscovered/Provides/DesktopProvide/Audio/MaxQuest_DEMO.zip</t>
  </si>
  <si>
    <t>mq_gui_volumesfx_click_option_2_v.2.wav</t>
  </si>
  <si>
    <t>/PTM/PTM/Undiscovered/Provides/DesktopProvide/Audio</t>
  </si>
  <si>
    <t>10_sec_left.wav</t>
  </si>
  <si>
    <t>/PTM/PTM/MQ_Pirates/Provides/DesktopProvide/Audio/UI</t>
  </si>
  <si>
    <t>artillery_explosion.wav</t>
  </si>
  <si>
    <t>/PTM/PTM/MQ_Pirates/Provides/DesktopProvide/Weapons/ArtilleryStrike/AUDIO/Components</t>
  </si>
  <si>
    <t>artillery_strikes_flying.wav</t>
  </si>
  <si>
    <t>bomb_flying.wav</t>
  </si>
  <si>
    <t>bomb_smoking.wav</t>
  </si>
  <si>
    <t>cryo_gun_charge.wav</t>
  </si>
  <si>
    <t>/PTM/PTM/MQ_Pirates/Provides/DesktopProvide/Weapons/Cryogun/AUDIO</t>
  </si>
  <si>
    <t>cryo_gun_shot.wav</t>
  </si>
  <si>
    <t>cryo_gun_unfreeze.wav</t>
  </si>
  <si>
    <t>/PTM/PTM/MQ_Pirates/Provides/DesktopProvide/Weapons/Flamethrower /Audio</t>
  </si>
  <si>
    <t>FLAMETHROWER.wav</t>
  </si>
  <si>
    <t>mq_guns_bullets_flyby_1.wav</t>
  </si>
  <si>
    <t>mq_guns_bullets_flyby_2.wav</t>
  </si>
  <si>
    <t>mq_guns_bullets_flyby_3.wav</t>
  </si>
  <si>
    <t>mq_guns_bullets_flyby_4.wav</t>
  </si>
  <si>
    <t>mq_guns_bullets_flyby_5.wav</t>
  </si>
  <si>
    <t>mq_guns_bullets_flyby_6.wav</t>
  </si>
  <si>
    <t>mq_guns_bullets_flyby_7.wav</t>
  </si>
  <si>
    <t>mq_guns_bullets_flyby_8.wav</t>
  </si>
  <si>
    <t>mine_launcher_arm.wav</t>
  </si>
  <si>
    <t>mine_launcher_hit.wav</t>
  </si>
  <si>
    <t>mine_launcher_shot.wav</t>
  </si>
  <si>
    <t>Mine_Launcher_trigger_beeps (pitched up).wav</t>
  </si>
  <si>
    <t>/PTM/PTM/MQ_Pirates/Provides/DesktopProvide/Weapons/MineLauncher/AUDIO</t>
  </si>
  <si>
    <t>plasma_shot.wav</t>
  </si>
  <si>
    <t>plasma_target.wav</t>
  </si>
  <si>
    <t>MP3 STEREO: 44 Khz -&gt; 22 Khz, 128 Kbps -&gt; 64 Kbps</t>
  </si>
  <si>
    <t>railgun_shot.wav</t>
  </si>
  <si>
    <t>/PTM/PTM/MQ_Pirates/Provides/DesktopProvide/Weapons/RailGun/Audio</t>
  </si>
  <si>
    <t>/PTM/PTM/Undiscovered/Provides/DesktopProvide/Audio/Weapon audio/Plasma
or
/PTM/PTM/Undiscovered/Provides/DesktopProvide/_FutureScheduling/PlasmaRifleUpdate</t>
  </si>
  <si>
    <t>mq_booster_end.wav</t>
  </si>
  <si>
    <t>CrateDropPerc.wav</t>
  </si>
  <si>
    <t>Chime_4.mp3</t>
  </si>
  <si>
    <t>mp3 duration</t>
  </si>
  <si>
    <t>mobile mp3 duration</t>
  </si>
  <si>
    <t>для тех звуков, которые не загружаются в мобильной версии, нужно проставить длину 0</t>
  </si>
  <si>
    <t>Total Game Sounds Duration:</t>
  </si>
  <si>
    <t>Total Lobby Sounds Duration:</t>
  </si>
  <si>
    <t>Total Sounds Duration:</t>
  </si>
  <si>
    <t>* Treasure/Weapon collect sound is too quiet compared to other audios. 
In general, volumes should be identical to Ra 2.0's settings. The treasure audio as much more distinct in Ra 2.0.
increase volume  by 15%</t>
  </si>
  <si>
    <t>boss_coins_explode.mp3</t>
  </si>
  <si>
    <t>boss_coins_explode.wav</t>
  </si>
  <si>
    <t>/PTM/PTM/MQ_Pirates/Provides/DesktopProvide/Audio/Wins/BossCoinExplode.wav</t>
  </si>
  <si>
    <t>quests</t>
  </si>
  <si>
    <t>win_figure.wav</t>
  </si>
  <si>
    <t>win_figure.mp3</t>
  </si>
  <si>
    <t>/PTM/PTM/MQ Ra Sequel/Audios/MQ weapon refresh.zip</t>
  </si>
  <si>
    <t>plasma_charge.wav</t>
  </si>
  <si>
    <t>/PTM/PTM/MQ Ra Sequel/Audios/MONEY WHEEL/Money_wheel_update.zip/08 Win Figure</t>
  </si>
  <si>
    <t>mq_mus_game_bg_main_1.mp3</t>
  </si>
  <si>
    <t>mq_mus_game_bg_main_2.mp3</t>
  </si>
  <si>
    <t>mq_mus_game_bg_main_3.mp3</t>
  </si>
  <si>
    <t>mq_mus_game_bg_boss.mp3</t>
  </si>
  <si>
    <t>mq_mus_game_bg_summary_screen.mp3</t>
  </si>
  <si>
    <t>critical_hit.mp3</t>
  </si>
  <si>
    <t>insta_kill.mp3</t>
  </si>
  <si>
    <t>mq_turret_burst1.mp3</t>
  </si>
  <si>
    <t>mq_turret_burst2.mp3</t>
  </si>
  <si>
    <t>mq_turret_burst3.mp3</t>
  </si>
  <si>
    <t>mq_turret_burst5.mp3</t>
  </si>
  <si>
    <t>mq_turret_burst4.mp3</t>
  </si>
  <si>
    <t>mq_turret_burst1.wav</t>
  </si>
  <si>
    <t>mq_turret_burst2.wav</t>
  </si>
  <si>
    <t>mq_turret_burst3.wav</t>
  </si>
  <si>
    <t>mq_turret_burst4.wav</t>
  </si>
  <si>
    <t>mq_turret_burst5.wav</t>
  </si>
  <si>
    <t>/PTM/PTM/MQ Ra Sequel/MathUpdateJune16/Weapons/UpdatedTurretsOct23/
/PTM/PTM/MQ Ra Sequel/MathUpdateJune16/Weapons/Nov 5 Turrets4-5.rar</t>
  </si>
  <si>
    <t>bet_change</t>
  </si>
  <si>
    <t>turret_change.mp3</t>
  </si>
  <si>
    <t>/PTM/PTM/MQ Ra Sequel/Audios/turret_change.wav</t>
  </si>
  <si>
    <t>turret_change.wav</t>
  </si>
  <si>
    <t>MQ_Dragonstone_lobby.wav</t>
  </si>
  <si>
    <t>/PTM/PTM/MQ_Dragonstone/MQ_Dragon_Stone/Provides/Audio/MaxQuest-Dragonstone-AudioPack-12.14.20.rar</t>
  </si>
  <si>
    <t>MQ_Dragonstone_In_game_end.wav</t>
  </si>
  <si>
    <t>MQ_Dragonstone_generic_ui.wav</t>
  </si>
  <si>
    <t>mq_gui_button_generic_ui.mp3</t>
  </si>
  <si>
    <t>MQ_Dragonstone_enter_room.wav</t>
  </si>
  <si>
    <t>обрезана тишина в исходном звуке, измененния сохранены в исходном wav</t>
  </si>
  <si>
    <t>MQ_Dragonstone_criticalhit.wav</t>
  </si>
  <si>
    <t>MQ_Dragonstone_instakill.wav</t>
  </si>
  <si>
    <t>MQ_Dragonstone_teleport_end.wav</t>
  </si>
  <si>
    <t>MQ_Dragonstone_teleport_start.wav</t>
  </si>
  <si>
    <t>teleport_close.mp3</t>
  </si>
  <si>
    <t>teleport_open.mp3</t>
  </si>
  <si>
    <t>MQ_Dragonstone_rage</t>
  </si>
  <si>
    <t>mq_dragonstone_rage.mp3</t>
  </si>
  <si>
    <t>mq_enemies_cerberus_spawn</t>
  </si>
  <si>
    <t>mq_enemies_gargoyle_fly</t>
  </si>
  <si>
    <t>mq_enemies_ogre_spawn</t>
  </si>
  <si>
    <t>mq_enemies_orc_spawn</t>
  </si>
  <si>
    <t>MQ_Dragonstone_Cerberus</t>
  </si>
  <si>
    <t>MQ_Dragonstone_gargoyle_fly</t>
  </si>
  <si>
    <t>MQ_Dragonstone_ogre_spawn</t>
  </si>
  <si>
    <t>MQ_Dragonstone_orc_spawn</t>
  </si>
  <si>
    <t>minislot</t>
  </si>
  <si>
    <t>MQ_Dragonstone_minislot_bigwin</t>
  </si>
  <si>
    <t>MQ_Dragonstone_minislot_bigwin_end</t>
  </si>
  <si>
    <t>MQ_Dragonstone_minislot_hugewin</t>
  </si>
  <si>
    <t>MQ_Dragonstone_minislot_megawin</t>
  </si>
  <si>
    <t>MQ_Dragonstone_minislot_outro</t>
  </si>
  <si>
    <t>MQ_Dragonstone_minislot_popup</t>
  </si>
  <si>
    <t>MQ_Dragonstone_minislot_spin</t>
  </si>
  <si>
    <t>MQ_Dragonstone_minislot_trigger</t>
  </si>
  <si>
    <t>MQ_Dragonstone_minislot_win</t>
  </si>
  <si>
    <t>/PTM/PTM/MQ_Dragonstone/MQ_Dragon_Stone/Provides/Audio/MaxQuest-Dragonstone asset list 3.15.21.</t>
  </si>
  <si>
    <t>mq_dragonstone_minislot_bigwin</t>
  </si>
  <si>
    <t>mq_dragonstone_minislot_bigwin_end</t>
  </si>
  <si>
    <t>mq_dragonstone_minislot_hugewin</t>
  </si>
  <si>
    <t>mq_dragonstone_minislot_megawin</t>
  </si>
  <si>
    <t>mq_dragonstone_minislot_outro</t>
  </si>
  <si>
    <t>mq_dragonstone_minislot_popup</t>
  </si>
  <si>
    <t>mq_dragonstone_minislot_spin</t>
  </si>
  <si>
    <t>mq_dragonstone_minislot_trigger</t>
  </si>
  <si>
    <t>mq_dragonstone_minislot_win</t>
  </si>
  <si>
    <t>big_win.mp3</t>
  </si>
  <si>
    <t>huge_win.mp3</t>
  </si>
  <si>
    <t>mega_win.mp3</t>
  </si>
  <si>
    <t>wins/big_win</t>
  </si>
  <si>
    <t>MQ_Dragonstone_megawin3.wav</t>
  </si>
  <si>
    <t>MQ_Dragonstone_megawin2.wav</t>
  </si>
  <si>
    <t>win_large.mp3</t>
  </si>
  <si>
    <t>win_medium.mp3</t>
  </si>
  <si>
    <t>win_small.mp3</t>
  </si>
  <si>
    <t>MQ_Dragonstone_bigwin.wav</t>
  </si>
  <si>
    <t>MQ_Dragonstone_mediumwin.wav</t>
  </si>
  <si>
    <t>MQ_Dragonstone_smallwin.wav</t>
  </si>
  <si>
    <t>bosses</t>
  </si>
  <si>
    <t>MQ_Dragonstone_BOSS_dragon_spawn</t>
  </si>
  <si>
    <t>MQ_Dragonstone_BOSS_dragon_death</t>
  </si>
  <si>
    <t>MQ_Dragonstone_BOSS_dragon_move</t>
  </si>
  <si>
    <t>mq_dragonstone_boss_dragon_spawn</t>
  </si>
  <si>
    <t>mq_dragonstone_boss_dragon_move</t>
  </si>
  <si>
    <t>mq_dragonstone_boss_dragon_death</t>
  </si>
  <si>
    <t>mq_dragonstone_boss_dragon_fire</t>
  </si>
  <si>
    <t>MQ_Dragonstone_BOSS_dragon_fire</t>
  </si>
  <si>
    <t>/PTM/PTM/MQ_Dragonstone/MQ_Dragon_Stone/Provides/Audio/MaxQuest-MQ_Dragonstone_Audio_Update_4.26.21.rar</t>
  </si>
  <si>
    <t>mq_dragonstone_token_collect</t>
  </si>
  <si>
    <t>/PTM/PTM/MQ Ra Sequel/Audios/MONEY WHEEL/instructions.txt:
Play 08 when the win amount is displayed
обрезана тишина в исходном звуке, измененния сохранены в исходном wav</t>
  </si>
  <si>
    <t>coin_splash.mp3</t>
  </si>
  <si>
    <t>MQ_Dragonstone_coin_splash</t>
  </si>
  <si>
    <t>coin_appear</t>
  </si>
  <si>
    <t>MQ_Dragonstone_coin_appear</t>
  </si>
  <si>
    <t>coin_collect</t>
  </si>
  <si>
    <t>MQ_Dragonstone_coin_collect</t>
  </si>
  <si>
    <t>MQ_Dragonstone_In_game_1</t>
  </si>
  <si>
    <t>MQ_Dragonstone_In_game_2</t>
  </si>
  <si>
    <t>MQ_Dragonstone_In_game_3</t>
  </si>
  <si>
    <t>MQ_Dragonstone_In_game_boss</t>
  </si>
  <si>
    <t>/PTM/PTM/MQ_Dragonstone/MQ_Dragon_Stone/Provides/Audio/MaxQuest-MQ_Dragonston_Audio_Update_5.4.21.rar</t>
  </si>
  <si>
    <t>/PTM/PTM/MQ_Dragonstone/MQ_Dragon_Stone/Provides/Audio/MaxQuest-MQ_Dragonstone_Audio_Update_5.5.21.rar</t>
  </si>
  <si>
    <t>mq_enemies_ravens_spawn_1_0</t>
  </si>
  <si>
    <t>mq_enemies_ravens_spawn_3_1</t>
  </si>
  <si>
    <t>mq_enemies_ravens_spawn_0_0</t>
  </si>
  <si>
    <t>MQ_Dragonstone_suspense.wav</t>
  </si>
  <si>
    <t>mq_mus_game_bg_prev_boss.mp3</t>
  </si>
  <si>
    <t>mq_enemies_ravens_spawn_0.wav</t>
  </si>
  <si>
    <t>mq_enemies_ravens_spawn_2.wav</t>
  </si>
  <si>
    <t>mq_enemies_ravens_spawn_1.wav</t>
  </si>
  <si>
    <t>/PTM/PTM/MQ_Dragonstone/MQ_Dragon_Stone/Provides/Audio/MQ_Dragonstone_Audio_Update_6.10.21.rar</t>
  </si>
  <si>
    <t>mq_dragonstone_token_collect.wav</t>
  </si>
  <si>
    <t>mq_dragonstone_token_collect_trigger.wav</t>
  </si>
  <si>
    <t>mq_dragonstone_token_appear.wav</t>
  </si>
  <si>
    <t>/PTM/PTM/MQ_Dragonstone/MQ_Dragon_Stone/Provides/Audio/MQ_Dragonstone_Audio_Update_6.11.21..rar</t>
  </si>
  <si>
    <t>/PTM/PTM/MQ_Dragonstone/MQ_Dragon_Stone/Provides/Audio/MQ_Dragonstone_Audio_Update_6.14.21.rar</t>
  </si>
  <si>
    <t>MQ_Dragonstone_Orc_music.wav</t>
  </si>
  <si>
    <t>mq_dragonstone_orc_music</t>
  </si>
  <si>
    <t>/PTM/PTM/MQ_Dragonstone/MQ_Dragon_Stone/Provides/Audio/MQ_Dragonstone_Audio_Update_6.21.21.rar</t>
  </si>
  <si>
    <t>mq_dragonstone_boss_dragon_shadow</t>
  </si>
  <si>
    <t>MQ_Dragonstone_BOSS_dragon_shadow</t>
  </si>
  <si>
    <t>/PTM/PTM/MQ_Dragonstone/MQ_Dragon_Stone/Provides/Audio/MQ_Dragonstone_Audio_Update_7.14.21</t>
  </si>
  <si>
    <t>/PTM/PTM/MQ_Dragonstone/MQ_Dragon_Stone/Provides/Audio/MQ_Dragonstone_Audio_Update_7.20.21.rar</t>
  </si>
  <si>
    <t>/PTM/PTM/MQ_Dragonstone/MQ_Dragon_Stone/Provides/Audio/MQ_Dragonstone_Audio_Update_7.22.21.rar</t>
  </si>
  <si>
    <t>mq_dragonstone_cerberus_death</t>
  </si>
  <si>
    <t>mq_dragonstone_dark_knight_death</t>
  </si>
  <si>
    <t>mq_dragonstone_ogre_death</t>
  </si>
  <si>
    <t>/PTM/PTM/MQ_Dragonstone/MQ_Dragon_Stone/Provides/Audio/MQ_Dragonstone_Audio_Update_8.9.21.rar</t>
  </si>
  <si>
    <t>MQ_Dragonstone_Cerberus_Death</t>
  </si>
  <si>
    <t>MQ_Dragonstone_Dark_Knight_Death</t>
  </si>
  <si>
    <t>/PTM/PTM/MQ_Dragonstone/MQ_Dragon_Stone/Provides/Audio/MQ_Dragonstone_Audio_Update_8.17.21.rar</t>
  </si>
  <si>
    <t>MQ_Dragonstone_BOSS_Outro_notification</t>
  </si>
  <si>
    <t>MQ_Dragonstone_BOSS_Intro_notification</t>
  </si>
  <si>
    <t>mq_dragonstone_boss_intro_notification</t>
  </si>
  <si>
    <t>mq_dragonstone_boss_outro_notification</t>
  </si>
  <si>
    <t>/PTM/PTM/MQ_Dragonstone/MQ_Dragon_Stone/Provides/Audio/MQ_Dragonstone_Audio_Update_8.16.21.rar</t>
  </si>
  <si>
    <t>mq_dragonstone_mini_notification_banner</t>
  </si>
  <si>
    <t>MQ_Dragonstone_mini_notification_banner</t>
  </si>
  <si>
    <t>mq_dragonstone_token_eye_collect</t>
  </si>
  <si>
    <t>MQ_Dragonstone_token_eye_collect</t>
  </si>
  <si>
    <t>specters</t>
  </si>
  <si>
    <t>MQ_Dragonstone_Fire_Specter_Death</t>
  </si>
  <si>
    <t>MQ_Dragonstone_Fire_Specter_Spawn</t>
  </si>
  <si>
    <t>MQ_Dragonstone_Lightning_Specter_Death</t>
  </si>
  <si>
    <t>MQ_Dragonstone_Lightning_Specter_Spawn</t>
  </si>
  <si>
    <t>MQ_Dragonstone_Spirit_Specter_Death</t>
  </si>
  <si>
    <t>MQ_Dragonstone_Spirit_Specter_Spawn</t>
  </si>
  <si>
    <t>mq_dragonstone_fire_specter_death</t>
  </si>
  <si>
    <t>mq_dragonstone_fire_specter_spawn</t>
  </si>
  <si>
    <t>mq_dragonstone_lightning_specter_death</t>
  </si>
  <si>
    <t>mq_dragonstone_lightning_specter_spawn</t>
  </si>
  <si>
    <t>mq_dragonstone_spirit_specter_death</t>
  </si>
  <si>
    <t>mq_dragonstone_spirit_specter_spawn</t>
  </si>
  <si>
    <t>MQ_Dragonstone_megawin1.wav</t>
  </si>
  <si>
    <t>/PTM/PTM/MQ_Dragonstone/MQ_Dragon_Stone/Provides/Audio/MQ_Dragonstone_Audio_Update_8.27.21.rar</t>
  </si>
  <si>
    <t>/PTM/MQ_Dragonstone/MQ_Dragon_Stone/Provides/Audio/MQ_Dragonstone_Audio_Update_9.16.21.rar</t>
  </si>
  <si>
    <t>/PTM/PTM/MQ_Dragonstone/MQ_Dragon_Stone/Provides/Audio/MQ_Dragonstone_Audio_Update_9.23.21.rar</t>
  </si>
  <si>
    <t>MQ_Dragonstone_Turret_Upgrade.wav</t>
  </si>
  <si>
    <t>turret_battleground_change.mp3</t>
  </si>
  <si>
    <t>/PTM/PTM/MQ_Dragonstone/MQ_Dragon_Stone/Provides/Audio/MQ_Dragonstone_Audio_Update_10.21.21.rar</t>
  </si>
  <si>
    <t>0008148: Pirates: Audio
increase cryogun sound volume by 15%
изменения применены в source .wav
MP3 STEREO: 44 Khz -&gt; 22 Khz, 128 Kbps -&gt; 64 Kbps</t>
  </si>
  <si>
    <t>обрезана тишина в исходном звуке, измененния сохранены в исходном wav
MP3 STEREO: 44 Khz -&gt; 22 Khz, 128 Kbps -&gt; 64 Kbps</t>
  </si>
  <si>
    <t>/PTM/PTM/MQ_Battlegrounds/Provides/MQ_Dragonstone_BTG_Audio_Updates_10.25.21.rar</t>
  </si>
  <si>
    <t>summary_win.mp3</t>
  </si>
  <si>
    <t>MQ_Dragonstone_Summary_win.wav</t>
  </si>
  <si>
    <t>/PTM/PTM/MQ_Dragonstone/MQ_Dragon_Stone/Provides/Audio/MQ_Dragonstone_BTG_Audio_Update_11.21.2021.rar</t>
  </si>
  <si>
    <t xml:space="preserve"> </t>
  </si>
  <si>
    <t>mq_dragonstone_notification</t>
  </si>
  <si>
    <t>mq_dragonstone_notification.wav</t>
  </si>
  <si>
    <t>mq_scoreboard_final_countdown</t>
  </si>
  <si>
    <t>mq_scoreboard_last_seconds</t>
  </si>
  <si>
    <t>mq_dragonstone_token_appear</t>
  </si>
  <si>
    <t>mq_dragonstone_token_collect_trigger</t>
  </si>
  <si>
    <t>/PTM/PTM/MQ_Battlegrounds/Provides/MQ_BTG_Audio_Update_Pack_06.13.22.rar</t>
  </si>
  <si>
    <t>mq_dragonstone_round_countdown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</si>
</sst>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sz val="11"/>
      <name val="Calibri"/>
      <family val="2"/>
      <charset val="204"/>
      <scheme val="minor"/>
    </font>
    <font>
      <b/>
      <sz val="11"/>
      <name val="Calibri"/>
      <family val="2"/>
      <charset val="204"/>
      <scheme val="minor"/>
    </font>
    <font>
      <sz val="8"/>
      <name val="Calibri"/>
      <family val="2"/>
      <charset val="204"/>
      <scheme val="minor"/>
    </font>
    <font>
      <i/>
      <sz val="11"/>
      <name val="Calibri"/>
      <family val="2"/>
      <charset val="204"/>
      <scheme val="minor"/>
    </font>
    <font>
      <sz val="11"/>
      <name val="Consolas"/>
      <family val="3"/>
      <charset val="204"/>
    </font>
    <font>
      <sz val="11"/>
      <color rgb="FF333333"/>
      <name val="Consolas"/>
      <family val="3"/>
      <charset val="204"/>
    </font>
  </fonts>
  <fills count="8">
    <fill>
      <patternFill patternType="none"/>
    </fill>
    <fill>
      <patternFill patternType="gray125"/>
    </fill>
    <fill>
      <patternFill patternType="solid">
        <fgColor theme="8"/>
        <bgColor indexed="64"/>
      </patternFill>
    </fill>
    <fill>
      <patternFill patternType="solid">
        <fgColor theme="4" tint="0.79998168889431442"/>
        <bgColor indexed="64"/>
      </patternFill>
    </fill>
    <fill>
      <patternFill patternType="solid">
        <fgColor theme="7"/>
        <bgColor indexed="64"/>
      </patternFill>
    </fill>
    <fill>
      <patternFill patternType="solid">
        <fgColor theme="0"/>
        <bgColor indexed="64"/>
      </patternFill>
    </fill>
    <fill>
      <patternFill patternType="solid">
        <fgColor theme="8" tint="0.79998168889431442"/>
        <bgColor indexed="64"/>
      </patternFill>
    </fill>
    <fill>
      <patternFill patternType="solid">
        <fgColor rgb="FFD9E1F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83">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wrapText="1"/>
    </xf>
    <xf numFmtId="0" fontId="1" fillId="0" borderId="1" xfId="0" applyFont="1" applyBorder="1" applyAlignment="1">
      <alignment horizontal="left" vertical="center" wrapText="1"/>
    </xf>
    <xf numFmtId="3" fontId="1"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4" borderId="0" xfId="0" applyFont="1" applyFill="1" applyAlignment="1">
      <alignment horizontal="right" vertical="center" wrapText="1"/>
    </xf>
    <xf numFmtId="0" fontId="1" fillId="0" borderId="1" xfId="0" applyFont="1" applyBorder="1" applyAlignment="1">
      <alignment horizontal="left" vertical="top" wrapText="1"/>
    </xf>
    <xf numFmtId="0" fontId="1" fillId="0" borderId="0" xfId="0" applyFont="1" applyAlignment="1">
      <alignment horizontal="left" vertical="top" wrapText="1"/>
    </xf>
    <xf numFmtId="0" fontId="2" fillId="2" borderId="1" xfId="0" applyFont="1" applyFill="1" applyBorder="1" applyAlignment="1">
      <alignment horizontal="left" vertical="top" wrapText="1"/>
    </xf>
    <xf numFmtId="0" fontId="1" fillId="0" borderId="0" xfId="0" applyFont="1" applyAlignment="1">
      <alignment vertical="center" wrapText="1"/>
    </xf>
    <xf numFmtId="1" fontId="1" fillId="0" borderId="1" xfId="0" applyNumberFormat="1" applyFont="1" applyBorder="1" applyAlignment="1">
      <alignment horizontal="center" vertical="center" wrapText="1"/>
    </xf>
    <xf numFmtId="1" fontId="2" fillId="4" borderId="1" xfId="0" applyNumberFormat="1" applyFont="1" applyFill="1" applyBorder="1" applyAlignment="1">
      <alignment horizontal="center" vertical="center" wrapText="1"/>
    </xf>
    <xf numFmtId="0" fontId="1" fillId="0" borderId="0" xfId="0" applyFont="1" applyFill="1" applyAlignment="1">
      <alignment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1" fillId="0" borderId="1" xfId="0" applyFont="1" applyFill="1" applyBorder="1" applyAlignment="1">
      <alignment horizontal="center" wrapText="1"/>
    </xf>
    <xf numFmtId="0" fontId="4" fillId="0" borderId="1" xfId="0" applyFont="1" applyBorder="1" applyAlignment="1">
      <alignment horizontal="left" vertical="top" wrapText="1"/>
    </xf>
    <xf numFmtId="3" fontId="1" fillId="0" borderId="6" xfId="0" applyNumberFormat="1" applyFont="1" applyBorder="1" applyAlignment="1">
      <alignment horizontal="center" vertical="center"/>
    </xf>
    <xf numFmtId="3" fontId="1" fillId="0" borderId="6" xfId="0" applyNumberFormat="1" applyFont="1" applyBorder="1" applyAlignment="1">
      <alignment horizontal="center" vertical="center" wrapText="1"/>
    </xf>
    <xf numFmtId="0" fontId="1" fillId="0" borderId="7"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Fill="1" applyBorder="1" applyAlignment="1">
      <alignment horizontal="center" vertical="center" wrapText="1"/>
    </xf>
    <xf numFmtId="0" fontId="1" fillId="0" borderId="6" xfId="0" applyFont="1" applyFill="1" applyBorder="1" applyAlignment="1">
      <alignment horizontal="center" wrapText="1"/>
    </xf>
    <xf numFmtId="0" fontId="1" fillId="0" borderId="6" xfId="0" applyFont="1" applyBorder="1" applyAlignment="1">
      <alignment horizontal="center" vertical="center" wrapText="1"/>
    </xf>
    <xf numFmtId="0" fontId="4" fillId="0" borderId="7" xfId="0" applyFont="1" applyBorder="1" applyAlignment="1">
      <alignment horizontal="left" vertical="top" wrapText="1"/>
    </xf>
    <xf numFmtId="0" fontId="1" fillId="5" borderId="1" xfId="0" applyFont="1" applyFill="1" applyBorder="1" applyAlignment="1">
      <alignment horizontal="left" vertical="center" wrapText="1"/>
    </xf>
    <xf numFmtId="1" fontId="1" fillId="5" borderId="1" xfId="0" applyNumberFormat="1" applyFont="1" applyFill="1" applyBorder="1" applyAlignment="1">
      <alignment horizontal="center" vertical="center" wrapText="1"/>
    </xf>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5" borderId="1" xfId="0" applyFont="1" applyFill="1" applyBorder="1" applyAlignment="1">
      <alignment horizontal="left" vertical="top" wrapText="1"/>
    </xf>
    <xf numFmtId="0" fontId="1" fillId="5" borderId="0" xfId="0" applyFont="1" applyFill="1" applyAlignment="1">
      <alignment wrapText="1"/>
    </xf>
    <xf numFmtId="0" fontId="1" fillId="5" borderId="5" xfId="0" applyFont="1" applyFill="1" applyBorder="1" applyAlignment="1">
      <alignment horizontal="left" vertical="center" wrapText="1"/>
    </xf>
    <xf numFmtId="0" fontId="1" fillId="5" borderId="5" xfId="0" applyFont="1" applyFill="1" applyBorder="1" applyAlignment="1">
      <alignment wrapText="1"/>
    </xf>
    <xf numFmtId="0" fontId="1" fillId="5" borderId="1" xfId="0" applyFont="1" applyFill="1" applyBorder="1" applyAlignment="1">
      <alignment wrapText="1"/>
    </xf>
    <xf numFmtId="0" fontId="1" fillId="6" borderId="0" xfId="0" applyFont="1" applyFill="1" applyAlignment="1">
      <alignment wrapText="1"/>
    </xf>
    <xf numFmtId="0" fontId="1" fillId="0" borderId="9" xfId="0" applyFont="1" applyBorder="1" applyAlignment="1">
      <alignment horizontal="center" vertical="center" wrapText="1"/>
    </xf>
    <xf numFmtId="0" fontId="1" fillId="0" borderId="5" xfId="0" applyFont="1" applyFill="1" applyBorder="1" applyAlignment="1">
      <alignment horizontal="center" vertical="center" wrapText="1"/>
    </xf>
    <xf numFmtId="3" fontId="1" fillId="0" borderId="1" xfId="0" applyNumberFormat="1" applyFont="1" applyBorder="1" applyAlignment="1">
      <alignment horizontal="center" vertical="center"/>
    </xf>
    <xf numFmtId="0" fontId="4" fillId="0" borderId="2" xfId="0" applyFont="1" applyBorder="1" applyAlignment="1">
      <alignment horizontal="left" vertical="top" wrapText="1"/>
    </xf>
    <xf numFmtId="3" fontId="1" fillId="0" borderId="4" xfId="0" applyNumberFormat="1" applyFont="1" applyBorder="1" applyAlignment="1">
      <alignment horizontal="center" vertical="center"/>
    </xf>
    <xf numFmtId="3" fontId="1" fillId="0" borderId="9" xfId="0" applyNumberFormat="1" applyFont="1" applyBorder="1" applyAlignment="1">
      <alignment horizontal="center" vertical="center" wrapText="1"/>
    </xf>
    <xf numFmtId="0" fontId="1" fillId="5" borderId="10" xfId="0" applyFont="1" applyFill="1" applyBorder="1" applyAlignment="1">
      <alignment vertical="center" wrapText="1"/>
    </xf>
    <xf numFmtId="0" fontId="1" fillId="0" borderId="7" xfId="0" applyFont="1" applyBorder="1" applyAlignment="1">
      <alignment horizontal="center" vertical="center" wrapText="1"/>
    </xf>
    <xf numFmtId="0" fontId="1" fillId="5" borderId="1" xfId="0" applyFont="1" applyFill="1" applyBorder="1" applyAlignment="1">
      <alignment vertical="center" wrapText="1"/>
    </xf>
    <xf numFmtId="3" fontId="1" fillId="0" borderId="4"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Border="1" applyAlignment="1">
      <alignment horizontal="center" vertical="center" wrapText="1"/>
    </xf>
    <xf numFmtId="0" fontId="5" fillId="0" borderId="1" xfId="0" applyFont="1" applyBorder="1" applyAlignment="1">
      <alignment vertical="center"/>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7" borderId="5" xfId="0" applyFont="1" applyFill="1" applyBorder="1" applyAlignment="1">
      <alignment horizontal="left" vertical="center" wrapText="1"/>
    </xf>
    <xf numFmtId="0" fontId="2" fillId="7" borderId="6" xfId="0" applyFont="1" applyFill="1" applyBorder="1" applyAlignment="1">
      <alignment horizontal="left" vertical="center" wrapText="1"/>
    </xf>
    <xf numFmtId="0" fontId="2" fillId="7" borderId="7" xfId="0" applyFont="1" applyFill="1" applyBorder="1" applyAlignment="1">
      <alignment horizontal="left" vertical="center" wrapText="1"/>
    </xf>
    <xf numFmtId="3" fontId="1" fillId="0" borderId="2" xfId="0" applyNumberFormat="1" applyFont="1" applyBorder="1" applyAlignment="1">
      <alignment horizontal="center" vertical="center" wrapText="1"/>
    </xf>
    <xf numFmtId="3" fontId="1" fillId="0" borderId="3"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3" borderId="5" xfId="0" applyFont="1" applyFill="1" applyBorder="1" applyAlignment="1">
      <alignment horizontal="left" wrapText="1"/>
    </xf>
    <xf numFmtId="0" fontId="1" fillId="3" borderId="6" xfId="0" applyFont="1" applyFill="1" applyBorder="1" applyAlignment="1">
      <alignment horizontal="left" wrapText="1"/>
    </xf>
    <xf numFmtId="0" fontId="1" fillId="3" borderId="7" xfId="0" applyFont="1" applyFill="1" applyBorder="1" applyAlignment="1">
      <alignment horizontal="left" wrapText="1"/>
    </xf>
    <xf numFmtId="0" fontId="1" fillId="0" borderId="8" xfId="0" applyFont="1" applyBorder="1" applyAlignment="1">
      <alignment horizontal="center" vertical="center" wrapText="1"/>
    </xf>
    <xf numFmtId="0" fontId="1" fillId="0" borderId="0" xfId="0" applyFont="1" applyBorder="1" applyAlignment="1">
      <alignment horizontal="center" vertical="center" wrapText="1"/>
    </xf>
    <xf numFmtId="0" fontId="0" fillId="0" borderId="2" xfId="0" applyFont="1" applyBorder="1" applyAlignment="1">
      <alignment horizontal="left" vertical="center" wrapText="1"/>
    </xf>
    <xf numFmtId="0" fontId="0" fillId="0" borderId="3" xfId="0" applyFont="1" applyBorder="1" applyAlignment="1">
      <alignment horizontal="left" vertical="center" wrapText="1"/>
    </xf>
    <xf numFmtId="0" fontId="0" fillId="0" borderId="4" xfId="0" applyFont="1" applyBorder="1" applyAlignment="1">
      <alignment horizontal="left" vertical="center" wrapText="1"/>
    </xf>
    <xf numFmtId="0" fontId="1" fillId="0" borderId="11" xfId="0" applyFont="1" applyBorder="1" applyAlignment="1">
      <alignment horizontal="center" vertical="top" wrapText="1"/>
    </xf>
    <xf numFmtId="0" fontId="1" fillId="0" borderId="12" xfId="0" applyFont="1" applyBorder="1" applyAlignment="1">
      <alignment horizontal="center" vertical="top" wrapText="1"/>
    </xf>
    <xf numFmtId="0" fontId="1" fillId="0" borderId="1" xfId="0" applyFont="1" applyBorder="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cellXfs>
  <cellStyles count="1">
    <cellStyle name="Обычный" xfId="0" builtinId="0"/>
  </cellStyles>
  <dxfs count="0"/>
  <tableStyles count="0" defaultTableStyle="TableStyleMedium2" defaultPivotStyle="PivotStyleLight16"/>
  <colors>
    <mruColors>
      <color rgb="FFD9E1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BEEFE-5FC3-4782-9B42-4B49188DF2DC}">
  <dimension ref="A2:F188"/>
  <sheetViews>
    <sheetView tabSelected="1" zoomScaleNormal="100" workbookViewId="0">
      <pane ySplit="3" topLeftCell="A5" activePane="bottomLeft" state="frozen"/>
      <selection pane="bottomLeft" activeCell="C18" sqref="C18"/>
    </sheetView>
  </sheetViews>
  <sheetFormatPr defaultColWidth="9.140625" defaultRowHeight="15" x14ac:dyDescent="0.25"/>
  <cols>
    <col min="1" max="1" width="46.85546875" style="4" customWidth="1"/>
    <col min="2" max="2" width="19.140625" style="12" customWidth="1"/>
    <col min="3" max="3" width="21.42578125" style="12" customWidth="1"/>
    <col min="4" max="4" width="40.7109375" style="4" customWidth="1"/>
    <col min="5" max="5" width="76.5703125" style="4" customWidth="1"/>
    <col min="6" max="6" width="91.85546875" style="10" customWidth="1"/>
    <col min="7" max="7" width="54.85546875" style="4" customWidth="1"/>
    <col min="8" max="16384" width="9.140625" style="4"/>
  </cols>
  <sheetData>
    <row r="2" spans="1:6" ht="90" x14ac:dyDescent="0.25">
      <c r="C2" s="7" t="s">
        <v>90</v>
      </c>
    </row>
    <row r="3" spans="1:6" x14ac:dyDescent="0.25">
      <c r="A3" s="1" t="s">
        <v>3</v>
      </c>
      <c r="B3" s="1" t="s">
        <v>88</v>
      </c>
      <c r="C3" s="1" t="s">
        <v>89</v>
      </c>
      <c r="D3" s="2" t="s">
        <v>45</v>
      </c>
      <c r="E3" s="2" t="s">
        <v>46</v>
      </c>
      <c r="F3" s="11" t="s">
        <v>48</v>
      </c>
    </row>
    <row r="4" spans="1:6" x14ac:dyDescent="0.25">
      <c r="A4" s="5" t="s">
        <v>130</v>
      </c>
      <c r="B4" s="13">
        <v>168</v>
      </c>
      <c r="C4" s="13">
        <v>168</v>
      </c>
      <c r="D4" s="6" t="s">
        <v>129</v>
      </c>
      <c r="E4" s="3" t="s">
        <v>54</v>
      </c>
      <c r="F4" s="9"/>
    </row>
    <row r="5" spans="1:6" x14ac:dyDescent="0.25">
      <c r="A5" s="5" t="s">
        <v>0</v>
      </c>
      <c r="B5" s="13">
        <v>677</v>
      </c>
      <c r="C5" s="13">
        <v>677</v>
      </c>
      <c r="D5" s="6" t="s">
        <v>131</v>
      </c>
      <c r="E5" s="3" t="s">
        <v>49</v>
      </c>
      <c r="F5" s="9"/>
    </row>
    <row r="6" spans="1:6" ht="30" x14ac:dyDescent="0.25">
      <c r="A6" s="5" t="s">
        <v>1</v>
      </c>
      <c r="B6" s="13">
        <v>261</v>
      </c>
      <c r="C6" s="13">
        <v>261</v>
      </c>
      <c r="D6" s="6" t="s">
        <v>51</v>
      </c>
      <c r="E6" s="3" t="s">
        <v>127</v>
      </c>
      <c r="F6" s="9"/>
    </row>
    <row r="7" spans="1:6" ht="30" x14ac:dyDescent="0.25">
      <c r="A7" s="5" t="s">
        <v>2</v>
      </c>
      <c r="B7" s="13">
        <v>11995</v>
      </c>
      <c r="C7" s="13">
        <v>11995</v>
      </c>
      <c r="D7" s="6" t="s">
        <v>126</v>
      </c>
      <c r="E7" s="3" t="s">
        <v>127</v>
      </c>
      <c r="F7" s="9"/>
    </row>
    <row r="8" spans="1:6" x14ac:dyDescent="0.25">
      <c r="A8" s="8" t="s">
        <v>92</v>
      </c>
      <c r="B8" s="14">
        <f>SUM(B4:B7)</f>
        <v>13101</v>
      </c>
      <c r="C8" s="14">
        <f>SUM(C4:C7)</f>
        <v>13101</v>
      </c>
    </row>
    <row r="10" spans="1:6" x14ac:dyDescent="0.25">
      <c r="A10" s="1" t="s">
        <v>4</v>
      </c>
      <c r="B10" s="1"/>
      <c r="C10" s="1"/>
      <c r="D10" s="2" t="s">
        <v>45</v>
      </c>
      <c r="E10" s="2" t="s">
        <v>46</v>
      </c>
      <c r="F10" s="11" t="s">
        <v>48</v>
      </c>
    </row>
    <row r="11" spans="1:6" x14ac:dyDescent="0.25">
      <c r="A11" s="57"/>
      <c r="B11" s="58"/>
      <c r="C11" s="58"/>
      <c r="D11" s="58"/>
      <c r="E11" s="58"/>
      <c r="F11" s="59"/>
    </row>
    <row r="12" spans="1:6" x14ac:dyDescent="0.25">
      <c r="A12" s="5" t="s">
        <v>44</v>
      </c>
      <c r="B12" s="13">
        <v>1698</v>
      </c>
      <c r="C12" s="13">
        <v>1698</v>
      </c>
      <c r="D12" s="6" t="s">
        <v>53</v>
      </c>
      <c r="E12" s="51" t="s">
        <v>54</v>
      </c>
      <c r="F12" s="9"/>
    </row>
    <row r="13" spans="1:6" ht="30" x14ac:dyDescent="0.25">
      <c r="A13" s="5" t="s">
        <v>130</v>
      </c>
      <c r="B13" s="13">
        <v>168</v>
      </c>
      <c r="C13" s="13">
        <v>168</v>
      </c>
      <c r="D13" s="6" t="s">
        <v>129</v>
      </c>
      <c r="E13" s="51" t="s">
        <v>127</v>
      </c>
      <c r="F13" s="9"/>
    </row>
    <row r="14" spans="1:6" x14ac:dyDescent="0.25">
      <c r="A14" s="5" t="s">
        <v>270</v>
      </c>
      <c r="B14" s="50">
        <v>2785</v>
      </c>
      <c r="C14" s="50">
        <v>2785</v>
      </c>
      <c r="D14" s="6" t="s">
        <v>271</v>
      </c>
      <c r="E14" s="51"/>
      <c r="F14" s="9"/>
    </row>
    <row r="15" spans="1:6" ht="30" x14ac:dyDescent="0.25">
      <c r="A15" s="5" t="s">
        <v>239</v>
      </c>
      <c r="B15" s="13">
        <v>1685</v>
      </c>
      <c r="C15" s="13">
        <v>1685</v>
      </c>
      <c r="D15" s="6" t="s">
        <v>240</v>
      </c>
      <c r="E15" s="51" t="s">
        <v>238</v>
      </c>
      <c r="F15" s="9"/>
    </row>
    <row r="16" spans="1:6" x14ac:dyDescent="0.25">
      <c r="A16" s="5" t="s">
        <v>272</v>
      </c>
      <c r="B16" s="50">
        <v>1509</v>
      </c>
      <c r="C16" s="50">
        <v>1509</v>
      </c>
      <c r="D16" s="6" t="s">
        <v>272</v>
      </c>
      <c r="E16" s="51"/>
      <c r="F16" s="9"/>
    </row>
    <row r="17" spans="1:6" ht="30" x14ac:dyDescent="0.25">
      <c r="A17" s="82" t="s">
        <v>277</v>
      </c>
      <c r="B17" s="50">
        <v>1509</v>
      </c>
      <c r="C17" s="50">
        <v>1509</v>
      </c>
      <c r="D17" s="81" t="s">
        <v>277</v>
      </c>
      <c r="E17" s="51" t="s">
        <v>276</v>
      </c>
      <c r="F17" s="9"/>
    </row>
    <row r="18" spans="1:6" x14ac:dyDescent="0.25">
      <c r="A18" s="5" t="s">
        <v>273</v>
      </c>
      <c r="B18" s="50">
        <v>985</v>
      </c>
      <c r="C18" s="50">
        <v>985</v>
      </c>
      <c r="D18" s="6" t="s">
        <v>273</v>
      </c>
      <c r="E18" s="51"/>
      <c r="F18" s="9"/>
    </row>
    <row r="19" spans="1:6" x14ac:dyDescent="0.25">
      <c r="A19" s="57" t="s">
        <v>122</v>
      </c>
      <c r="B19" s="58"/>
      <c r="C19" s="58"/>
      <c r="D19" s="58"/>
      <c r="E19" s="58"/>
      <c r="F19" s="59"/>
    </row>
    <row r="20" spans="1:6" s="15" customFormat="1" ht="27.75" customHeight="1" x14ac:dyDescent="0.25">
      <c r="A20" s="29" t="s">
        <v>123</v>
      </c>
      <c r="B20" s="13">
        <v>217</v>
      </c>
      <c r="C20" s="13">
        <v>217</v>
      </c>
      <c r="D20" s="6" t="s">
        <v>125</v>
      </c>
      <c r="E20" s="51" t="s">
        <v>124</v>
      </c>
      <c r="F20" s="9" t="s">
        <v>81</v>
      </c>
    </row>
    <row r="21" spans="1:6" s="15" customFormat="1" ht="27.75" customHeight="1" x14ac:dyDescent="0.25">
      <c r="A21" s="49" t="s">
        <v>261</v>
      </c>
      <c r="B21" s="50">
        <v>993</v>
      </c>
      <c r="C21" s="50">
        <v>993</v>
      </c>
      <c r="D21" s="6" t="s">
        <v>260</v>
      </c>
      <c r="E21" s="51" t="s">
        <v>265</v>
      </c>
      <c r="F21" s="9" t="s">
        <v>81</v>
      </c>
    </row>
    <row r="22" spans="1:6" s="15" customFormat="1" x14ac:dyDescent="0.25">
      <c r="A22" s="57" t="s">
        <v>5</v>
      </c>
      <c r="B22" s="58"/>
      <c r="C22" s="58"/>
      <c r="D22" s="58"/>
      <c r="E22" s="58"/>
      <c r="F22" s="59"/>
    </row>
    <row r="23" spans="1:6" s="15" customFormat="1" ht="15" customHeight="1" x14ac:dyDescent="0.25">
      <c r="A23" s="29" t="s">
        <v>104</v>
      </c>
      <c r="B23" s="17">
        <v>40255</v>
      </c>
      <c r="C23" s="17">
        <v>40255</v>
      </c>
      <c r="D23" s="17" t="s">
        <v>199</v>
      </c>
      <c r="E23" s="65" t="s">
        <v>221</v>
      </c>
      <c r="F23" s="16" t="s">
        <v>81</v>
      </c>
    </row>
    <row r="24" spans="1:6" s="15" customFormat="1" x14ac:dyDescent="0.25">
      <c r="A24" s="29" t="s">
        <v>105</v>
      </c>
      <c r="B24" s="17">
        <v>32052</v>
      </c>
      <c r="C24" s="17">
        <v>32052</v>
      </c>
      <c r="D24" s="17" t="s">
        <v>200</v>
      </c>
      <c r="E24" s="66"/>
      <c r="F24" s="16" t="s">
        <v>81</v>
      </c>
    </row>
    <row r="25" spans="1:6" s="15" customFormat="1" x14ac:dyDescent="0.25">
      <c r="A25" s="29" t="s">
        <v>106</v>
      </c>
      <c r="B25" s="17">
        <v>34978</v>
      </c>
      <c r="C25" s="17">
        <v>34978</v>
      </c>
      <c r="D25" s="18" t="s">
        <v>201</v>
      </c>
      <c r="E25" s="66"/>
      <c r="F25" s="9" t="s">
        <v>81</v>
      </c>
    </row>
    <row r="26" spans="1:6" x14ac:dyDescent="0.25">
      <c r="A26" s="29" t="s">
        <v>107</v>
      </c>
      <c r="B26" s="17">
        <v>32052</v>
      </c>
      <c r="C26" s="17">
        <v>32052</v>
      </c>
      <c r="D26" s="18" t="s">
        <v>202</v>
      </c>
      <c r="E26" s="66"/>
      <c r="F26" s="9" t="s">
        <v>81</v>
      </c>
    </row>
    <row r="27" spans="1:6" x14ac:dyDescent="0.25">
      <c r="A27" s="37" t="s">
        <v>108</v>
      </c>
      <c r="B27" s="17">
        <v>17452</v>
      </c>
      <c r="C27" s="17">
        <v>17452</v>
      </c>
      <c r="D27" s="19" t="s">
        <v>128</v>
      </c>
      <c r="E27" s="66"/>
      <c r="F27" s="9" t="s">
        <v>81</v>
      </c>
    </row>
    <row r="28" spans="1:6" ht="33.75" customHeight="1" x14ac:dyDescent="0.25">
      <c r="A28" s="37" t="s">
        <v>220</v>
      </c>
      <c r="B28" s="17">
        <v>9590</v>
      </c>
      <c r="C28" s="17">
        <v>9590</v>
      </c>
      <c r="D28" s="17" t="s">
        <v>219</v>
      </c>
      <c r="E28" s="54" t="s">
        <v>233</v>
      </c>
      <c r="F28" s="9" t="s">
        <v>81</v>
      </c>
    </row>
    <row r="29" spans="1:6" ht="30" x14ac:dyDescent="0.25">
      <c r="A29" s="37" t="s">
        <v>209</v>
      </c>
      <c r="B29" s="17">
        <v>25602</v>
      </c>
      <c r="C29" s="17">
        <v>25602</v>
      </c>
      <c r="D29" s="17" t="s">
        <v>208</v>
      </c>
      <c r="E29" s="53" t="s">
        <v>217</v>
      </c>
      <c r="F29" s="9" t="s">
        <v>81</v>
      </c>
    </row>
    <row r="30" spans="1:6" x14ac:dyDescent="0.25">
      <c r="A30" s="68" t="s">
        <v>149</v>
      </c>
      <c r="B30" s="69"/>
      <c r="C30" s="69"/>
      <c r="D30" s="69"/>
      <c r="E30" s="69"/>
      <c r="F30" s="70"/>
    </row>
    <row r="31" spans="1:6" ht="15" customHeight="1" x14ac:dyDescent="0.25">
      <c r="A31" s="36" t="s">
        <v>160</v>
      </c>
      <c r="B31" s="40">
        <v>3169</v>
      </c>
      <c r="C31" s="17">
        <v>3169</v>
      </c>
      <c r="D31" s="26" t="s">
        <v>150</v>
      </c>
      <c r="E31" s="71" t="s">
        <v>127</v>
      </c>
      <c r="F31" s="23"/>
    </row>
    <row r="32" spans="1:6" x14ac:dyDescent="0.25">
      <c r="A32" s="36" t="s">
        <v>161</v>
      </c>
      <c r="B32" s="40">
        <v>1358</v>
      </c>
      <c r="C32" s="17">
        <v>1358</v>
      </c>
      <c r="D32" s="26" t="s">
        <v>151</v>
      </c>
      <c r="E32" s="72"/>
      <c r="F32" s="23"/>
    </row>
    <row r="33" spans="1:6" x14ac:dyDescent="0.25">
      <c r="A33" s="36" t="s">
        <v>162</v>
      </c>
      <c r="B33" s="40">
        <v>3717</v>
      </c>
      <c r="C33" s="17">
        <v>3717</v>
      </c>
      <c r="D33" s="26" t="s">
        <v>152</v>
      </c>
      <c r="E33" s="72"/>
      <c r="F33" s="23"/>
    </row>
    <row r="34" spans="1:6" x14ac:dyDescent="0.25">
      <c r="A34" s="36" t="s">
        <v>163</v>
      </c>
      <c r="B34" s="40">
        <v>4266</v>
      </c>
      <c r="C34" s="17">
        <v>4266</v>
      </c>
      <c r="D34" s="26" t="s">
        <v>153</v>
      </c>
      <c r="E34" s="72"/>
      <c r="F34" s="23"/>
    </row>
    <row r="35" spans="1:6" x14ac:dyDescent="0.25">
      <c r="A35" s="36" t="s">
        <v>164</v>
      </c>
      <c r="B35" s="40">
        <v>1990</v>
      </c>
      <c r="C35" s="17">
        <v>1990</v>
      </c>
      <c r="D35" s="26" t="s">
        <v>154</v>
      </c>
      <c r="E35" s="72"/>
      <c r="F35" s="23"/>
    </row>
    <row r="36" spans="1:6" ht="15" customHeight="1" x14ac:dyDescent="0.25">
      <c r="A36" s="36" t="s">
        <v>165</v>
      </c>
      <c r="B36" s="40">
        <v>1541</v>
      </c>
      <c r="C36" s="17">
        <v>1541</v>
      </c>
      <c r="D36" s="26" t="s">
        <v>155</v>
      </c>
      <c r="E36" s="55" t="s">
        <v>203</v>
      </c>
      <c r="F36" s="23"/>
    </row>
    <row r="37" spans="1:6" ht="30" x14ac:dyDescent="0.25">
      <c r="A37" s="36" t="s">
        <v>166</v>
      </c>
      <c r="B37" s="40">
        <v>1463</v>
      </c>
      <c r="C37" s="17">
        <v>1463</v>
      </c>
      <c r="D37" s="26" t="s">
        <v>156</v>
      </c>
      <c r="E37" s="55" t="s">
        <v>204</v>
      </c>
      <c r="F37" s="23"/>
    </row>
    <row r="38" spans="1:6" ht="30" x14ac:dyDescent="0.25">
      <c r="A38" s="36" t="s">
        <v>167</v>
      </c>
      <c r="B38" s="40">
        <v>1202</v>
      </c>
      <c r="C38" s="17">
        <v>1202</v>
      </c>
      <c r="D38" s="26" t="s">
        <v>157</v>
      </c>
      <c r="E38" s="39" t="s">
        <v>203</v>
      </c>
      <c r="F38" s="23"/>
    </row>
    <row r="39" spans="1:6" ht="30" x14ac:dyDescent="0.25">
      <c r="A39" s="35" t="s">
        <v>168</v>
      </c>
      <c r="B39" s="40">
        <v>1698</v>
      </c>
      <c r="C39" s="17">
        <v>1698</v>
      </c>
      <c r="D39" s="25" t="s">
        <v>158</v>
      </c>
      <c r="E39" s="27" t="s">
        <v>159</v>
      </c>
      <c r="F39" s="23"/>
    </row>
    <row r="40" spans="1:6" x14ac:dyDescent="0.25">
      <c r="A40" s="57" t="s">
        <v>6</v>
      </c>
      <c r="B40" s="58"/>
      <c r="C40" s="58"/>
      <c r="D40" s="58"/>
      <c r="E40" s="58"/>
      <c r="F40" s="59"/>
    </row>
    <row r="41" spans="1:6" ht="15" customHeight="1" x14ac:dyDescent="0.25">
      <c r="A41" s="35" t="s">
        <v>137</v>
      </c>
      <c r="B41" s="41">
        <v>888</v>
      </c>
      <c r="C41" s="21">
        <v>888</v>
      </c>
      <c r="D41" s="22" t="s">
        <v>135</v>
      </c>
      <c r="E41" s="76" t="s">
        <v>225</v>
      </c>
      <c r="F41" s="23"/>
    </row>
    <row r="42" spans="1:6" x14ac:dyDescent="0.25">
      <c r="A42" s="35" t="s">
        <v>138</v>
      </c>
      <c r="B42" s="41">
        <v>888</v>
      </c>
      <c r="C42" s="41">
        <v>888</v>
      </c>
      <c r="D42" s="22" t="s">
        <v>136</v>
      </c>
      <c r="E42" s="77"/>
      <c r="F42" s="23"/>
    </row>
    <row r="43" spans="1:6" ht="25.5" customHeight="1" x14ac:dyDescent="0.25">
      <c r="A43" s="35" t="s">
        <v>142</v>
      </c>
      <c r="B43" s="41">
        <v>2847</v>
      </c>
      <c r="C43" s="41">
        <v>2847</v>
      </c>
      <c r="D43" s="22" t="s">
        <v>146</v>
      </c>
      <c r="E43" s="46" t="s">
        <v>203</v>
      </c>
      <c r="F43" s="23"/>
    </row>
    <row r="44" spans="1:6" ht="30" customHeight="1" x14ac:dyDescent="0.25">
      <c r="A44" s="35" t="s">
        <v>140</v>
      </c>
      <c r="B44" s="41">
        <v>3788</v>
      </c>
      <c r="C44" s="41">
        <v>3788</v>
      </c>
      <c r="D44" s="22" t="s">
        <v>139</v>
      </c>
      <c r="E44" s="22" t="s">
        <v>230</v>
      </c>
      <c r="F44" s="23"/>
    </row>
    <row r="45" spans="1:6" ht="30.75" customHeight="1" x14ac:dyDescent="0.25">
      <c r="A45" s="35" t="s">
        <v>141</v>
      </c>
      <c r="B45" s="41">
        <v>5180</v>
      </c>
      <c r="C45" s="41">
        <v>5180</v>
      </c>
      <c r="D45" s="22" t="s">
        <v>145</v>
      </c>
      <c r="E45" s="22" t="s">
        <v>127</v>
      </c>
      <c r="F45" s="23"/>
    </row>
    <row r="46" spans="1:6" ht="30" x14ac:dyDescent="0.25">
      <c r="A46" s="35" t="s">
        <v>143</v>
      </c>
      <c r="B46" s="41">
        <v>1946</v>
      </c>
      <c r="C46" s="41">
        <v>1946</v>
      </c>
      <c r="D46" s="22" t="s">
        <v>147</v>
      </c>
      <c r="E46" s="51" t="s">
        <v>225</v>
      </c>
      <c r="F46" s="23"/>
    </row>
    <row r="47" spans="1:6" ht="30" x14ac:dyDescent="0.25">
      <c r="A47" s="35" t="s">
        <v>144</v>
      </c>
      <c r="B47" s="41">
        <v>1863</v>
      </c>
      <c r="C47" s="41">
        <v>1863</v>
      </c>
      <c r="D47" s="22" t="s">
        <v>148</v>
      </c>
      <c r="E47" s="51" t="s">
        <v>127</v>
      </c>
      <c r="F47" s="23"/>
    </row>
    <row r="48" spans="1:6" x14ac:dyDescent="0.25">
      <c r="A48" s="45" t="s">
        <v>207</v>
      </c>
      <c r="B48" s="43">
        <v>263</v>
      </c>
      <c r="C48" s="43">
        <v>263</v>
      </c>
      <c r="D48" s="44" t="s">
        <v>210</v>
      </c>
      <c r="E48" s="78" t="s">
        <v>218</v>
      </c>
      <c r="F48" s="23"/>
    </row>
    <row r="49" spans="1:6" ht="12" customHeight="1" x14ac:dyDescent="0.25">
      <c r="A49" s="45" t="s">
        <v>205</v>
      </c>
      <c r="B49" s="43">
        <v>364</v>
      </c>
      <c r="C49" s="43">
        <v>0</v>
      </c>
      <c r="D49" s="44" t="s">
        <v>212</v>
      </c>
      <c r="E49" s="78"/>
      <c r="F49" s="23"/>
    </row>
    <row r="50" spans="1:6" ht="12" customHeight="1" x14ac:dyDescent="0.25">
      <c r="A50" s="45" t="s">
        <v>206</v>
      </c>
      <c r="B50" s="43">
        <v>280</v>
      </c>
      <c r="C50" s="43">
        <v>0</v>
      </c>
      <c r="D50" s="44" t="s">
        <v>211</v>
      </c>
      <c r="E50" s="78"/>
      <c r="F50" s="23"/>
    </row>
    <row r="51" spans="1:6" ht="18" customHeight="1" x14ac:dyDescent="0.25">
      <c r="A51" s="45" t="s">
        <v>227</v>
      </c>
      <c r="B51" s="43">
        <v>1000</v>
      </c>
      <c r="C51" s="43">
        <v>1000</v>
      </c>
      <c r="D51" s="44" t="s">
        <v>231</v>
      </c>
      <c r="E51" s="78" t="s">
        <v>230</v>
      </c>
      <c r="F51" s="23"/>
    </row>
    <row r="52" spans="1:6" ht="18" customHeight="1" x14ac:dyDescent="0.25">
      <c r="A52" s="45" t="s">
        <v>228</v>
      </c>
      <c r="B52" s="43">
        <v>2546</v>
      </c>
      <c r="C52" s="43">
        <v>2546</v>
      </c>
      <c r="D52" s="44" t="s">
        <v>232</v>
      </c>
      <c r="E52" s="78"/>
      <c r="F52" s="23"/>
    </row>
    <row r="53" spans="1:6" ht="18" customHeight="1" x14ac:dyDescent="0.25">
      <c r="A53" s="45" t="s">
        <v>229</v>
      </c>
      <c r="B53" s="43">
        <v>1382</v>
      </c>
      <c r="C53" s="43">
        <v>1382</v>
      </c>
      <c r="D53" s="44" t="s">
        <v>232</v>
      </c>
      <c r="E53" s="78"/>
      <c r="F53" s="23"/>
    </row>
    <row r="54" spans="1:6" x14ac:dyDescent="0.25">
      <c r="A54" s="60" t="s">
        <v>243</v>
      </c>
      <c r="B54" s="61"/>
      <c r="C54" s="61"/>
      <c r="D54" s="61"/>
      <c r="E54" s="61"/>
      <c r="F54" s="62"/>
    </row>
    <row r="55" spans="1:6" ht="15" customHeight="1" x14ac:dyDescent="0.25">
      <c r="A55" s="47" t="s">
        <v>250</v>
      </c>
      <c r="B55" s="41">
        <v>2315</v>
      </c>
      <c r="C55" s="41">
        <v>2315</v>
      </c>
      <c r="D55" s="6" t="s">
        <v>244</v>
      </c>
      <c r="E55" s="65" t="s">
        <v>257</v>
      </c>
      <c r="F55" s="9"/>
    </row>
    <row r="56" spans="1:6" x14ac:dyDescent="0.25">
      <c r="A56" s="47" t="s">
        <v>251</v>
      </c>
      <c r="B56" s="41">
        <v>2561</v>
      </c>
      <c r="C56" s="41">
        <v>2561</v>
      </c>
      <c r="D56" s="6" t="s">
        <v>245</v>
      </c>
      <c r="E56" s="66"/>
      <c r="F56" s="9"/>
    </row>
    <row r="57" spans="1:6" x14ac:dyDescent="0.25">
      <c r="A57" s="47" t="s">
        <v>252</v>
      </c>
      <c r="B57" s="41">
        <v>2000</v>
      </c>
      <c r="C57" s="41">
        <v>2000</v>
      </c>
      <c r="D57" s="6" t="s">
        <v>246</v>
      </c>
      <c r="E57" s="66"/>
      <c r="F57" s="9"/>
    </row>
    <row r="58" spans="1:6" ht="15" customHeight="1" x14ac:dyDescent="0.25">
      <c r="A58" s="47" t="s">
        <v>253</v>
      </c>
      <c r="B58" s="41">
        <v>2390</v>
      </c>
      <c r="C58" s="41">
        <v>2390</v>
      </c>
      <c r="D58" s="6" t="s">
        <v>247</v>
      </c>
      <c r="E58" s="66"/>
      <c r="F58" s="9"/>
    </row>
    <row r="59" spans="1:6" x14ac:dyDescent="0.25">
      <c r="A59" s="47" t="s">
        <v>254</v>
      </c>
      <c r="B59" s="41">
        <v>2000</v>
      </c>
      <c r="C59" s="41">
        <v>2000</v>
      </c>
      <c r="D59" s="6" t="s">
        <v>248</v>
      </c>
      <c r="E59" s="66"/>
      <c r="F59" s="9"/>
    </row>
    <row r="60" spans="1:6" x14ac:dyDescent="0.25">
      <c r="A60" s="47" t="s">
        <v>255</v>
      </c>
      <c r="B60" s="41">
        <v>3000</v>
      </c>
      <c r="C60" s="41">
        <v>3000</v>
      </c>
      <c r="D60" s="6" t="s">
        <v>249</v>
      </c>
      <c r="E60" s="67"/>
      <c r="F60" s="9"/>
    </row>
    <row r="61" spans="1:6" ht="17.25" customHeight="1" x14ac:dyDescent="0.25">
      <c r="A61" s="60" t="s">
        <v>181</v>
      </c>
      <c r="B61" s="61"/>
      <c r="C61" s="61"/>
      <c r="D61" s="61"/>
      <c r="E61" s="61"/>
      <c r="F61" s="62"/>
    </row>
    <row r="62" spans="1:6" ht="30" x14ac:dyDescent="0.25">
      <c r="A62" s="35" t="s">
        <v>185</v>
      </c>
      <c r="B62" s="41">
        <v>3344</v>
      </c>
      <c r="C62" s="41">
        <v>3344</v>
      </c>
      <c r="D62" s="22" t="s">
        <v>182</v>
      </c>
      <c r="E62" s="51" t="s">
        <v>204</v>
      </c>
      <c r="F62" s="23"/>
    </row>
    <row r="63" spans="1:6" ht="30" x14ac:dyDescent="0.25">
      <c r="A63" s="35" t="s">
        <v>187</v>
      </c>
      <c r="B63" s="41">
        <v>6713</v>
      </c>
      <c r="C63" s="41">
        <v>6713</v>
      </c>
      <c r="D63" s="22" t="s">
        <v>183</v>
      </c>
      <c r="E63" s="6" t="s">
        <v>127</v>
      </c>
      <c r="F63" s="23" t="s">
        <v>132</v>
      </c>
    </row>
    <row r="64" spans="1:6" ht="30" x14ac:dyDescent="0.25">
      <c r="A64" s="35" t="s">
        <v>186</v>
      </c>
      <c r="B64" s="41">
        <v>1855</v>
      </c>
      <c r="C64" s="41">
        <v>1855</v>
      </c>
      <c r="D64" s="22" t="s">
        <v>184</v>
      </c>
      <c r="E64" s="6" t="s">
        <v>226</v>
      </c>
      <c r="F64" s="23" t="s">
        <v>132</v>
      </c>
    </row>
    <row r="65" spans="1:6" ht="30" x14ac:dyDescent="0.25">
      <c r="A65" s="35" t="s">
        <v>222</v>
      </c>
      <c r="B65" s="41">
        <v>2401</v>
      </c>
      <c r="C65" s="41">
        <v>2401</v>
      </c>
      <c r="D65" s="22" t="s">
        <v>223</v>
      </c>
      <c r="E65" s="51" t="s">
        <v>224</v>
      </c>
      <c r="F65" s="23"/>
    </row>
    <row r="66" spans="1:6" ht="30" x14ac:dyDescent="0.25">
      <c r="A66" s="35" t="s">
        <v>188</v>
      </c>
      <c r="B66" s="41">
        <v>4174</v>
      </c>
      <c r="C66" s="41">
        <v>4174</v>
      </c>
      <c r="D66" s="22" t="s">
        <v>189</v>
      </c>
      <c r="E66" s="51" t="s">
        <v>190</v>
      </c>
      <c r="F66" s="28" t="s">
        <v>132</v>
      </c>
    </row>
    <row r="67" spans="1:6" x14ac:dyDescent="0.25">
      <c r="A67" s="29" t="s">
        <v>236</v>
      </c>
      <c r="B67" s="41">
        <v>6539</v>
      </c>
      <c r="C67" s="41">
        <v>6539</v>
      </c>
      <c r="D67" s="6" t="s">
        <v>235</v>
      </c>
      <c r="E67" s="65" t="s">
        <v>238</v>
      </c>
      <c r="F67" s="20"/>
    </row>
    <row r="68" spans="1:6" x14ac:dyDescent="0.25">
      <c r="A68" s="29" t="s">
        <v>237</v>
      </c>
      <c r="B68" s="41">
        <v>4375</v>
      </c>
      <c r="C68" s="41">
        <v>4375</v>
      </c>
      <c r="D68" s="6" t="s">
        <v>234</v>
      </c>
      <c r="E68" s="67"/>
      <c r="F68" s="20"/>
    </row>
    <row r="69" spans="1:6" x14ac:dyDescent="0.25">
      <c r="A69" s="57" t="s">
        <v>98</v>
      </c>
      <c r="B69" s="58"/>
      <c r="C69" s="58"/>
      <c r="D69" s="58"/>
      <c r="E69" s="58"/>
      <c r="F69" s="59"/>
    </row>
    <row r="70" spans="1:6" ht="45" x14ac:dyDescent="0.25">
      <c r="A70" s="29" t="s">
        <v>100</v>
      </c>
      <c r="B70" s="13">
        <v>1958</v>
      </c>
      <c r="C70" s="13">
        <v>1958</v>
      </c>
      <c r="D70" s="6" t="s">
        <v>99</v>
      </c>
      <c r="E70" s="51" t="s">
        <v>103</v>
      </c>
      <c r="F70" s="9" t="s">
        <v>192</v>
      </c>
    </row>
    <row r="71" spans="1:6" x14ac:dyDescent="0.25">
      <c r="A71" s="56" t="s">
        <v>274</v>
      </c>
      <c r="B71" s="13">
        <v>1750</v>
      </c>
      <c r="C71" s="13">
        <v>1750</v>
      </c>
      <c r="D71" s="6" t="s">
        <v>216</v>
      </c>
      <c r="E71" s="65" t="s">
        <v>213</v>
      </c>
      <c r="F71" s="9"/>
    </row>
    <row r="72" spans="1:6" ht="30" x14ac:dyDescent="0.25">
      <c r="A72" s="56" t="s">
        <v>275</v>
      </c>
      <c r="B72" s="13">
        <v>3051</v>
      </c>
      <c r="C72" s="13">
        <v>3051</v>
      </c>
      <c r="D72" s="6" t="s">
        <v>215</v>
      </c>
      <c r="E72" s="66"/>
      <c r="F72" s="9"/>
    </row>
    <row r="73" spans="1:6" x14ac:dyDescent="0.25">
      <c r="A73" s="29" t="s">
        <v>191</v>
      </c>
      <c r="B73" s="13">
        <v>1731</v>
      </c>
      <c r="C73" s="13">
        <v>1731</v>
      </c>
      <c r="D73" s="6" t="s">
        <v>214</v>
      </c>
      <c r="E73" s="67"/>
      <c r="F73" s="9"/>
    </row>
    <row r="74" spans="1:6" ht="30" x14ac:dyDescent="0.25">
      <c r="A74" s="29" t="s">
        <v>241</v>
      </c>
      <c r="B74" s="13">
        <v>2774</v>
      </c>
      <c r="C74" s="13">
        <v>2774</v>
      </c>
      <c r="D74" s="6" t="s">
        <v>242</v>
      </c>
      <c r="E74" s="51" t="s">
        <v>238</v>
      </c>
      <c r="F74" s="9"/>
    </row>
    <row r="75" spans="1:6" ht="30" customHeight="1" x14ac:dyDescent="0.25">
      <c r="A75" s="57" t="s">
        <v>7</v>
      </c>
      <c r="B75" s="58"/>
      <c r="C75" s="58"/>
      <c r="D75" s="58"/>
      <c r="E75" s="58"/>
      <c r="F75" s="59"/>
    </row>
    <row r="76" spans="1:6" ht="30" x14ac:dyDescent="0.25">
      <c r="A76" s="29" t="s">
        <v>8</v>
      </c>
      <c r="B76" s="13">
        <v>2288</v>
      </c>
      <c r="C76" s="13">
        <v>2288</v>
      </c>
      <c r="D76" s="6" t="s">
        <v>55</v>
      </c>
      <c r="E76" s="51" t="s">
        <v>56</v>
      </c>
      <c r="F76" s="9" t="s">
        <v>81</v>
      </c>
    </row>
    <row r="77" spans="1:6" ht="30" x14ac:dyDescent="0.25">
      <c r="A77" s="29" t="s">
        <v>9</v>
      </c>
      <c r="B77" s="13">
        <v>1955</v>
      </c>
      <c r="C77" s="13">
        <v>1955</v>
      </c>
      <c r="D77" s="6" t="s">
        <v>57</v>
      </c>
      <c r="E77" s="51" t="s">
        <v>56</v>
      </c>
      <c r="F77" s="9" t="s">
        <v>81</v>
      </c>
    </row>
    <row r="78" spans="1:6" ht="30" x14ac:dyDescent="0.25">
      <c r="A78" s="29" t="s">
        <v>10</v>
      </c>
      <c r="B78" s="13">
        <v>816</v>
      </c>
      <c r="C78" s="13">
        <v>816</v>
      </c>
      <c r="D78" s="6" t="s">
        <v>58</v>
      </c>
      <c r="E78" s="51" t="s">
        <v>56</v>
      </c>
      <c r="F78" s="9" t="s">
        <v>81</v>
      </c>
    </row>
    <row r="79" spans="1:6" ht="30" x14ac:dyDescent="0.25">
      <c r="A79" s="29" t="s">
        <v>11</v>
      </c>
      <c r="B79" s="13">
        <v>2337</v>
      </c>
      <c r="C79" s="13">
        <v>2337</v>
      </c>
      <c r="D79" s="6" t="s">
        <v>59</v>
      </c>
      <c r="E79" s="51" t="s">
        <v>56</v>
      </c>
      <c r="F79" s="9" t="s">
        <v>81</v>
      </c>
    </row>
    <row r="80" spans="1:6" x14ac:dyDescent="0.25">
      <c r="A80" s="57" t="s">
        <v>12</v>
      </c>
      <c r="B80" s="58"/>
      <c r="C80" s="58"/>
      <c r="D80" s="58"/>
      <c r="E80" s="58"/>
      <c r="F80" s="59"/>
    </row>
    <row r="81" spans="1:6" ht="60" x14ac:dyDescent="0.25">
      <c r="A81" s="29" t="s">
        <v>13</v>
      </c>
      <c r="B81" s="13">
        <v>1850</v>
      </c>
      <c r="C81" s="13">
        <v>1850</v>
      </c>
      <c r="D81" s="6" t="s">
        <v>60</v>
      </c>
      <c r="E81" s="51" t="s">
        <v>61</v>
      </c>
      <c r="F81" s="9" t="s">
        <v>263</v>
      </c>
    </row>
    <row r="82" spans="1:6" ht="60" x14ac:dyDescent="0.25">
      <c r="A82" s="29" t="s">
        <v>14</v>
      </c>
      <c r="B82" s="13">
        <v>1732</v>
      </c>
      <c r="C82" s="13">
        <v>1732</v>
      </c>
      <c r="D82" s="6" t="s">
        <v>62</v>
      </c>
      <c r="E82" s="51" t="s">
        <v>61</v>
      </c>
      <c r="F82" s="9" t="s">
        <v>263</v>
      </c>
    </row>
    <row r="83" spans="1:6" x14ac:dyDescent="0.25">
      <c r="A83" s="29" t="s">
        <v>15</v>
      </c>
      <c r="B83" s="13">
        <v>1260</v>
      </c>
      <c r="C83" s="13">
        <v>1260</v>
      </c>
      <c r="D83" s="6" t="s">
        <v>63</v>
      </c>
      <c r="E83" s="51" t="s">
        <v>61</v>
      </c>
      <c r="F83" s="9" t="s">
        <v>81</v>
      </c>
    </row>
    <row r="84" spans="1:6" x14ac:dyDescent="0.25">
      <c r="A84" s="57" t="s">
        <v>16</v>
      </c>
      <c r="B84" s="58"/>
      <c r="C84" s="58"/>
      <c r="D84" s="58"/>
      <c r="E84" s="58"/>
      <c r="F84" s="59"/>
    </row>
    <row r="85" spans="1:6" x14ac:dyDescent="0.25">
      <c r="A85" s="29" t="s">
        <v>111</v>
      </c>
      <c r="B85" s="13">
        <v>500</v>
      </c>
      <c r="C85" s="13">
        <v>500</v>
      </c>
      <c r="D85" s="6" t="s">
        <v>116</v>
      </c>
      <c r="E85" s="65" t="s">
        <v>121</v>
      </c>
      <c r="F85" s="73" t="s">
        <v>81</v>
      </c>
    </row>
    <row r="86" spans="1:6" x14ac:dyDescent="0.25">
      <c r="A86" s="29" t="s">
        <v>112</v>
      </c>
      <c r="B86" s="13">
        <v>254</v>
      </c>
      <c r="C86" s="13">
        <v>254</v>
      </c>
      <c r="D86" s="6" t="s">
        <v>117</v>
      </c>
      <c r="E86" s="66"/>
      <c r="F86" s="74"/>
    </row>
    <row r="87" spans="1:6" x14ac:dyDescent="0.25">
      <c r="A87" s="29" t="s">
        <v>113</v>
      </c>
      <c r="B87" s="13">
        <v>240</v>
      </c>
      <c r="C87" s="13">
        <v>240</v>
      </c>
      <c r="D87" s="6" t="s">
        <v>118</v>
      </c>
      <c r="E87" s="66"/>
      <c r="F87" s="74"/>
    </row>
    <row r="88" spans="1:6" x14ac:dyDescent="0.25">
      <c r="A88" s="29" t="s">
        <v>115</v>
      </c>
      <c r="B88" s="13">
        <v>256</v>
      </c>
      <c r="C88" s="13">
        <v>256</v>
      </c>
      <c r="D88" s="6" t="s">
        <v>119</v>
      </c>
      <c r="E88" s="66"/>
      <c r="F88" s="74"/>
    </row>
    <row r="89" spans="1:6" x14ac:dyDescent="0.25">
      <c r="A89" s="29" t="s">
        <v>114</v>
      </c>
      <c r="B89" s="13">
        <v>712</v>
      </c>
      <c r="C89" s="13">
        <v>712</v>
      </c>
      <c r="D89" s="6" t="s">
        <v>120</v>
      </c>
      <c r="E89" s="67"/>
      <c r="F89" s="75"/>
    </row>
    <row r="90" spans="1:6" x14ac:dyDescent="0.25">
      <c r="A90" s="57" t="s">
        <v>17</v>
      </c>
      <c r="B90" s="58"/>
      <c r="C90" s="58"/>
      <c r="D90" s="58"/>
      <c r="E90" s="58"/>
      <c r="F90" s="59"/>
    </row>
    <row r="91" spans="1:6" x14ac:dyDescent="0.25">
      <c r="A91" s="29" t="s">
        <v>18</v>
      </c>
      <c r="B91" s="13">
        <v>2190</v>
      </c>
      <c r="C91" s="13">
        <v>2190</v>
      </c>
      <c r="D91" s="6" t="s">
        <v>65</v>
      </c>
      <c r="E91" s="51" t="s">
        <v>64</v>
      </c>
      <c r="F91" s="9" t="s">
        <v>81</v>
      </c>
    </row>
    <row r="92" spans="1:6" x14ac:dyDescent="0.25">
      <c r="A92" s="57" t="s">
        <v>19</v>
      </c>
      <c r="B92" s="58"/>
      <c r="C92" s="58"/>
      <c r="D92" s="58"/>
      <c r="E92" s="58"/>
      <c r="F92" s="59"/>
    </row>
    <row r="93" spans="1:6" x14ac:dyDescent="0.25">
      <c r="A93" s="29" t="s">
        <v>20</v>
      </c>
      <c r="B93" s="13">
        <v>305</v>
      </c>
      <c r="C93" s="13">
        <v>0</v>
      </c>
      <c r="D93" s="6" t="s">
        <v>66</v>
      </c>
      <c r="E93" s="51" t="s">
        <v>50</v>
      </c>
      <c r="F93" s="9" t="s">
        <v>81</v>
      </c>
    </row>
    <row r="94" spans="1:6" x14ac:dyDescent="0.25">
      <c r="A94" s="29" t="s">
        <v>21</v>
      </c>
      <c r="B94" s="13">
        <v>213</v>
      </c>
      <c r="C94" s="13">
        <v>213</v>
      </c>
      <c r="D94" s="6" t="s">
        <v>67</v>
      </c>
      <c r="E94" s="51" t="s">
        <v>50</v>
      </c>
      <c r="F94" s="9" t="s">
        <v>81</v>
      </c>
    </row>
    <row r="95" spans="1:6" x14ac:dyDescent="0.25">
      <c r="A95" s="29" t="s">
        <v>22</v>
      </c>
      <c r="B95" s="13">
        <v>263</v>
      </c>
      <c r="C95" s="13">
        <v>0</v>
      </c>
      <c r="D95" s="6" t="s">
        <v>68</v>
      </c>
      <c r="E95" s="51" t="s">
        <v>50</v>
      </c>
      <c r="F95" s="9" t="s">
        <v>81</v>
      </c>
    </row>
    <row r="96" spans="1:6" x14ac:dyDescent="0.25">
      <c r="A96" s="29" t="s">
        <v>23</v>
      </c>
      <c r="B96" s="13">
        <v>263</v>
      </c>
      <c r="C96" s="13">
        <v>0</v>
      </c>
      <c r="D96" s="6" t="s">
        <v>69</v>
      </c>
      <c r="E96" s="51" t="s">
        <v>50</v>
      </c>
      <c r="F96" s="9" t="s">
        <v>81</v>
      </c>
    </row>
    <row r="97" spans="1:6" x14ac:dyDescent="0.25">
      <c r="A97" s="29" t="s">
        <v>24</v>
      </c>
      <c r="B97" s="13">
        <v>267</v>
      </c>
      <c r="C97" s="13">
        <v>0</v>
      </c>
      <c r="D97" s="6" t="s">
        <v>70</v>
      </c>
      <c r="E97" s="51" t="s">
        <v>50</v>
      </c>
      <c r="F97" s="9" t="s">
        <v>81</v>
      </c>
    </row>
    <row r="98" spans="1:6" x14ac:dyDescent="0.25">
      <c r="A98" s="29" t="s">
        <v>25</v>
      </c>
      <c r="B98" s="13">
        <v>244</v>
      </c>
      <c r="C98" s="13">
        <v>0</v>
      </c>
      <c r="D98" s="6" t="s">
        <v>71</v>
      </c>
      <c r="E98" s="51" t="s">
        <v>50</v>
      </c>
      <c r="F98" s="9" t="s">
        <v>81</v>
      </c>
    </row>
    <row r="99" spans="1:6" x14ac:dyDescent="0.25">
      <c r="A99" s="29" t="s">
        <v>26</v>
      </c>
      <c r="B99" s="13">
        <v>322</v>
      </c>
      <c r="C99" s="13">
        <v>0</v>
      </c>
      <c r="D99" s="6" t="s">
        <v>72</v>
      </c>
      <c r="E99" s="51" t="s">
        <v>50</v>
      </c>
      <c r="F99" s="9" t="s">
        <v>81</v>
      </c>
    </row>
    <row r="100" spans="1:6" x14ac:dyDescent="0.25">
      <c r="A100" s="29" t="s">
        <v>27</v>
      </c>
      <c r="B100" s="13">
        <v>325</v>
      </c>
      <c r="C100" s="13">
        <v>0</v>
      </c>
      <c r="D100" s="6" t="s">
        <v>73</v>
      </c>
      <c r="E100" s="51" t="s">
        <v>50</v>
      </c>
      <c r="F100" s="9" t="s">
        <v>81</v>
      </c>
    </row>
    <row r="101" spans="1:6" x14ac:dyDescent="0.25">
      <c r="A101" s="57" t="s">
        <v>28</v>
      </c>
      <c r="B101" s="58"/>
      <c r="C101" s="58"/>
      <c r="D101" s="58"/>
      <c r="E101" s="58"/>
      <c r="F101" s="59"/>
    </row>
    <row r="102" spans="1:6" ht="30" x14ac:dyDescent="0.25">
      <c r="A102" s="29" t="s">
        <v>29</v>
      </c>
      <c r="B102" s="13">
        <v>1750</v>
      </c>
      <c r="C102" s="13">
        <v>1750</v>
      </c>
      <c r="D102" s="6" t="s">
        <v>74</v>
      </c>
      <c r="E102" s="51" t="s">
        <v>78</v>
      </c>
      <c r="F102" s="9" t="s">
        <v>81</v>
      </c>
    </row>
    <row r="103" spans="1:6" ht="23.25" customHeight="1" x14ac:dyDescent="0.25">
      <c r="A103" s="29" t="s">
        <v>30</v>
      </c>
      <c r="B103" s="13">
        <v>1907</v>
      </c>
      <c r="C103" s="13">
        <v>1907</v>
      </c>
      <c r="D103" s="6" t="s">
        <v>75</v>
      </c>
      <c r="E103" s="51" t="s">
        <v>78</v>
      </c>
      <c r="F103" s="9" t="s">
        <v>81</v>
      </c>
    </row>
    <row r="104" spans="1:6" ht="24" customHeight="1" x14ac:dyDescent="0.25">
      <c r="A104" s="29" t="s">
        <v>31</v>
      </c>
      <c r="B104" s="13">
        <v>1019</v>
      </c>
      <c r="C104" s="13">
        <v>1019</v>
      </c>
      <c r="D104" s="6" t="s">
        <v>76</v>
      </c>
      <c r="E104" s="51" t="s">
        <v>78</v>
      </c>
      <c r="F104" s="9" t="s">
        <v>81</v>
      </c>
    </row>
    <row r="105" spans="1:6" ht="21" customHeight="1" x14ac:dyDescent="0.25">
      <c r="A105" s="29" t="s">
        <v>32</v>
      </c>
      <c r="B105" s="13">
        <v>470</v>
      </c>
      <c r="C105" s="13">
        <v>470</v>
      </c>
      <c r="D105" s="6" t="s">
        <v>77</v>
      </c>
      <c r="E105" s="51" t="s">
        <v>78</v>
      </c>
      <c r="F105" s="9" t="s">
        <v>81</v>
      </c>
    </row>
    <row r="106" spans="1:6" ht="21.75" customHeight="1" x14ac:dyDescent="0.25">
      <c r="A106" s="57" t="s">
        <v>33</v>
      </c>
      <c r="B106" s="58"/>
      <c r="C106" s="58"/>
      <c r="D106" s="58"/>
      <c r="E106" s="58"/>
      <c r="F106" s="59"/>
    </row>
    <row r="107" spans="1:6" ht="24" customHeight="1" x14ac:dyDescent="0.25">
      <c r="A107" s="29" t="s">
        <v>34</v>
      </c>
      <c r="B107" s="13">
        <v>1750</v>
      </c>
      <c r="C107" s="13">
        <v>1750</v>
      </c>
      <c r="D107" s="6" t="s">
        <v>102</v>
      </c>
      <c r="E107" s="79" t="s">
        <v>101</v>
      </c>
      <c r="F107" s="9" t="s">
        <v>81</v>
      </c>
    </row>
    <row r="108" spans="1:6" s="38" customFormat="1" x14ac:dyDescent="0.25">
      <c r="A108" s="29" t="s">
        <v>35</v>
      </c>
      <c r="B108" s="13">
        <v>705</v>
      </c>
      <c r="C108" s="13">
        <v>705</v>
      </c>
      <c r="D108" s="6" t="s">
        <v>79</v>
      </c>
      <c r="E108" s="79" t="s">
        <v>101</v>
      </c>
      <c r="F108" s="9" t="s">
        <v>81</v>
      </c>
    </row>
    <row r="109" spans="1:6" s="34" customFormat="1" ht="60" x14ac:dyDescent="0.25">
      <c r="A109" s="29" t="s">
        <v>36</v>
      </c>
      <c r="B109" s="13">
        <v>725</v>
      </c>
      <c r="C109" s="13">
        <v>725</v>
      </c>
      <c r="D109" s="6" t="s">
        <v>80</v>
      </c>
      <c r="E109" s="51" t="s">
        <v>84</v>
      </c>
      <c r="F109" s="9" t="s">
        <v>81</v>
      </c>
    </row>
    <row r="110" spans="1:6" s="34" customFormat="1" ht="25.5" customHeight="1" x14ac:dyDescent="0.25">
      <c r="A110" s="60" t="s">
        <v>37</v>
      </c>
      <c r="B110" s="61"/>
      <c r="C110" s="61"/>
      <c r="D110" s="61"/>
      <c r="E110" s="61"/>
      <c r="F110" s="62"/>
    </row>
    <row r="111" spans="1:6" x14ac:dyDescent="0.25">
      <c r="A111" s="29" t="s">
        <v>38</v>
      </c>
      <c r="B111" s="13">
        <v>1602</v>
      </c>
      <c r="C111" s="13">
        <v>1602</v>
      </c>
      <c r="D111" s="6" t="s">
        <v>82</v>
      </c>
      <c r="E111" s="51" t="s">
        <v>83</v>
      </c>
      <c r="F111" s="9" t="s">
        <v>81</v>
      </c>
    </row>
    <row r="112" spans="1:6" x14ac:dyDescent="0.25">
      <c r="A112" s="60" t="s">
        <v>40</v>
      </c>
      <c r="B112" s="61"/>
      <c r="C112" s="61"/>
      <c r="D112" s="61"/>
      <c r="E112" s="61"/>
      <c r="F112" s="62"/>
    </row>
    <row r="113" spans="1:6" ht="30" x14ac:dyDescent="0.25">
      <c r="A113" s="29" t="s">
        <v>41</v>
      </c>
      <c r="B113" s="30">
        <v>832</v>
      </c>
      <c r="C113" s="30">
        <v>832</v>
      </c>
      <c r="D113" s="31" t="s">
        <v>86</v>
      </c>
      <c r="E113" s="32" t="s">
        <v>47</v>
      </c>
      <c r="F113" s="33"/>
    </row>
    <row r="114" spans="1:6" x14ac:dyDescent="0.25">
      <c r="A114" s="29" t="s">
        <v>42</v>
      </c>
      <c r="B114" s="30">
        <v>895</v>
      </c>
      <c r="C114" s="30">
        <v>895</v>
      </c>
      <c r="D114" s="31" t="s">
        <v>85</v>
      </c>
      <c r="E114" s="32" t="s">
        <v>49</v>
      </c>
      <c r="F114" s="33"/>
    </row>
    <row r="115" spans="1:6" x14ac:dyDescent="0.25">
      <c r="A115" s="57" t="s">
        <v>172</v>
      </c>
      <c r="B115" s="58"/>
      <c r="C115" s="58"/>
      <c r="D115" s="58"/>
      <c r="E115" s="58"/>
      <c r="F115" s="59"/>
    </row>
    <row r="116" spans="1:6" ht="18.75" customHeight="1" x14ac:dyDescent="0.25">
      <c r="A116" s="29" t="s">
        <v>169</v>
      </c>
      <c r="B116" s="80">
        <v>2655</v>
      </c>
      <c r="C116" s="13">
        <v>2655</v>
      </c>
      <c r="D116" s="6" t="s">
        <v>256</v>
      </c>
      <c r="E116" s="65" t="s">
        <v>127</v>
      </c>
      <c r="F116" s="9"/>
    </row>
    <row r="117" spans="1:6" x14ac:dyDescent="0.25">
      <c r="A117" s="29" t="s">
        <v>170</v>
      </c>
      <c r="B117" s="13">
        <v>3108</v>
      </c>
      <c r="C117" s="13">
        <v>3108</v>
      </c>
      <c r="D117" s="6" t="s">
        <v>174</v>
      </c>
      <c r="E117" s="66"/>
      <c r="F117" s="9"/>
    </row>
    <row r="118" spans="1:6" x14ac:dyDescent="0.25">
      <c r="A118" s="29" t="s">
        <v>171</v>
      </c>
      <c r="B118" s="13">
        <v>4780</v>
      </c>
      <c r="C118" s="13">
        <v>4780</v>
      </c>
      <c r="D118" s="6" t="s">
        <v>173</v>
      </c>
      <c r="E118" s="67"/>
      <c r="F118" s="9"/>
    </row>
    <row r="119" spans="1:6" ht="15" customHeight="1" x14ac:dyDescent="0.25">
      <c r="A119" s="57" t="s">
        <v>39</v>
      </c>
      <c r="B119" s="58"/>
      <c r="C119" s="58"/>
      <c r="D119" s="58"/>
      <c r="E119" s="58"/>
      <c r="F119" s="59"/>
    </row>
    <row r="120" spans="1:6" ht="30" x14ac:dyDescent="0.25">
      <c r="A120" s="29" t="s">
        <v>95</v>
      </c>
      <c r="B120" s="13">
        <v>6270</v>
      </c>
      <c r="C120" s="13">
        <v>6270</v>
      </c>
      <c r="D120" s="6" t="s">
        <v>96</v>
      </c>
      <c r="E120" s="51" t="s">
        <v>97</v>
      </c>
      <c r="F120" s="9"/>
    </row>
    <row r="121" spans="1:6" ht="34.5" customHeight="1" x14ac:dyDescent="0.25">
      <c r="A121" s="29" t="s">
        <v>193</v>
      </c>
      <c r="B121" s="13">
        <v>6270</v>
      </c>
      <c r="C121" s="13">
        <v>6720</v>
      </c>
      <c r="D121" s="6" t="s">
        <v>194</v>
      </c>
      <c r="E121" s="52" t="s">
        <v>258</v>
      </c>
      <c r="F121" s="9" t="s">
        <v>81</v>
      </c>
    </row>
    <row r="122" spans="1:6" ht="31.5" customHeight="1" x14ac:dyDescent="0.25">
      <c r="A122" s="29" t="s">
        <v>195</v>
      </c>
      <c r="B122" s="13">
        <v>336</v>
      </c>
      <c r="C122" s="13">
        <v>336</v>
      </c>
      <c r="D122" s="6" t="s">
        <v>196</v>
      </c>
      <c r="E122" s="54" t="s">
        <v>127</v>
      </c>
      <c r="F122" s="9"/>
    </row>
    <row r="123" spans="1:6" ht="30" x14ac:dyDescent="0.25">
      <c r="A123" s="29" t="s">
        <v>197</v>
      </c>
      <c r="B123" s="13">
        <v>686</v>
      </c>
      <c r="C123" s="13">
        <v>686</v>
      </c>
      <c r="D123" s="6" t="s">
        <v>198</v>
      </c>
      <c r="E123" s="53" t="s">
        <v>262</v>
      </c>
      <c r="F123" s="20" t="s">
        <v>264</v>
      </c>
    </row>
    <row r="124" spans="1:6" ht="75" x14ac:dyDescent="0.25">
      <c r="A124" s="29" t="s">
        <v>43</v>
      </c>
      <c r="B124" s="13">
        <v>1954</v>
      </c>
      <c r="C124" s="13">
        <v>1954</v>
      </c>
      <c r="D124" s="6" t="s">
        <v>87</v>
      </c>
      <c r="E124" s="51" t="s">
        <v>52</v>
      </c>
      <c r="F124" s="9" t="s">
        <v>94</v>
      </c>
    </row>
    <row r="125" spans="1:6" ht="30" customHeight="1" x14ac:dyDescent="0.25">
      <c r="A125" s="29" t="s">
        <v>175</v>
      </c>
      <c r="B125" s="13">
        <v>3218</v>
      </c>
      <c r="C125" s="13">
        <v>0</v>
      </c>
      <c r="D125" s="6" t="s">
        <v>178</v>
      </c>
      <c r="E125" s="63" t="s">
        <v>259</v>
      </c>
      <c r="F125" s="24" t="s">
        <v>81</v>
      </c>
    </row>
    <row r="126" spans="1:6" ht="30" customHeight="1" x14ac:dyDescent="0.25">
      <c r="A126" s="29" t="s">
        <v>176</v>
      </c>
      <c r="B126" s="13">
        <v>1472</v>
      </c>
      <c r="C126" s="13">
        <v>0</v>
      </c>
      <c r="D126" s="6" t="s">
        <v>179</v>
      </c>
      <c r="E126" s="64"/>
      <c r="F126" s="42" t="s">
        <v>264</v>
      </c>
    </row>
    <row r="127" spans="1:6" ht="30" x14ac:dyDescent="0.25">
      <c r="A127" s="29" t="s">
        <v>177</v>
      </c>
      <c r="B127" s="13">
        <v>1569</v>
      </c>
      <c r="C127" s="13">
        <v>1569</v>
      </c>
      <c r="D127" s="6" t="s">
        <v>180</v>
      </c>
      <c r="E127" s="48" t="s">
        <v>262</v>
      </c>
      <c r="F127" s="24" t="s">
        <v>81</v>
      </c>
    </row>
    <row r="128" spans="1:6" ht="30" x14ac:dyDescent="0.25">
      <c r="A128" s="29" t="s">
        <v>109</v>
      </c>
      <c r="B128" s="13">
        <v>854</v>
      </c>
      <c r="C128" s="13">
        <v>854</v>
      </c>
      <c r="D128" s="6" t="s">
        <v>133</v>
      </c>
      <c r="E128" s="51" t="s">
        <v>127</v>
      </c>
      <c r="F128" s="20" t="s">
        <v>132</v>
      </c>
    </row>
    <row r="129" spans="1:6" ht="30" x14ac:dyDescent="0.25">
      <c r="A129" s="29" t="s">
        <v>266</v>
      </c>
      <c r="B129" s="13">
        <v>4342</v>
      </c>
      <c r="C129" s="13">
        <v>4342</v>
      </c>
      <c r="D129" s="6" t="s">
        <v>267</v>
      </c>
      <c r="E129" s="51" t="s">
        <v>268</v>
      </c>
      <c r="F129" s="20" t="s">
        <v>132</v>
      </c>
    </row>
    <row r="130" spans="1:6" ht="13.5" customHeight="1" x14ac:dyDescent="0.25">
      <c r="A130" s="29" t="s">
        <v>110</v>
      </c>
      <c r="B130" s="13">
        <v>463</v>
      </c>
      <c r="C130" s="13">
        <v>463</v>
      </c>
      <c r="D130" s="6" t="s">
        <v>134</v>
      </c>
      <c r="E130" s="51" t="s">
        <v>127</v>
      </c>
      <c r="F130" s="20" t="s">
        <v>132</v>
      </c>
    </row>
    <row r="131" spans="1:6" ht="16.5" customHeight="1" x14ac:dyDescent="0.25">
      <c r="A131" s="8" t="s">
        <v>91</v>
      </c>
      <c r="B131" s="14">
        <f>SUM(B120:B130,B113:B114,B111:B111,B107:B109,B102:B105,B93:B100,B91,B85:B89,B81:B83,B76:B79,B70:B74,B23:B29,B12:B18,B116:B118,B62:B68,B55:B60,B41:B53,B31:B39,B20:B21)</f>
        <v>370324</v>
      </c>
      <c r="C131" s="14">
        <f>SUM(C120:C130,C113:C114,C111:C111,C107:C109,C102:C105,C93:C100,C91,C85:C89,C81:C83,C76:C79,C70:C74,C23:C29,C12:C18,C116:C118,C62:C68,C55:C60,C41:C53,C31:C39,C20:C21)</f>
        <v>363451</v>
      </c>
    </row>
    <row r="132" spans="1:6" ht="15.75" customHeight="1" x14ac:dyDescent="0.25">
      <c r="C132" s="12" t="s">
        <v>269</v>
      </c>
    </row>
    <row r="133" spans="1:6" x14ac:dyDescent="0.25">
      <c r="A133" s="8" t="s">
        <v>93</v>
      </c>
      <c r="B133" s="14">
        <f>B131+B8</f>
        <v>383425</v>
      </c>
      <c r="C133" s="14">
        <f>C131+C8</f>
        <v>376552</v>
      </c>
    </row>
    <row r="134" spans="1:6" ht="13.5" customHeight="1" x14ac:dyDescent="0.25"/>
    <row r="135" spans="1:6" ht="16.5" customHeight="1" x14ac:dyDescent="0.25"/>
    <row r="136" spans="1:6" ht="15.75" customHeight="1" x14ac:dyDescent="0.25"/>
    <row r="137" spans="1:6" ht="77.25" customHeight="1" x14ac:dyDescent="0.25"/>
    <row r="140" spans="1:6" ht="16.5" customHeight="1" x14ac:dyDescent="0.25"/>
    <row r="145" ht="14.45" customHeight="1" x14ac:dyDescent="0.25"/>
    <row r="167" ht="75" customHeight="1" x14ac:dyDescent="0.25"/>
    <row r="182" ht="90" customHeight="1" x14ac:dyDescent="0.25"/>
    <row r="185" ht="60" customHeight="1" x14ac:dyDescent="0.25"/>
    <row r="188" ht="60" customHeight="1" x14ac:dyDescent="0.25"/>
  </sheetData>
  <mergeCells count="31">
    <mergeCell ref="E41:E42"/>
    <mergeCell ref="E48:E50"/>
    <mergeCell ref="E51:E53"/>
    <mergeCell ref="A75:F75"/>
    <mergeCell ref="A69:F69"/>
    <mergeCell ref="A61:F61"/>
    <mergeCell ref="E67:E68"/>
    <mergeCell ref="E71:E73"/>
    <mergeCell ref="A84:F84"/>
    <mergeCell ref="E116:E118"/>
    <mergeCell ref="A11:F11"/>
    <mergeCell ref="A22:F22"/>
    <mergeCell ref="A40:F40"/>
    <mergeCell ref="A19:F19"/>
    <mergeCell ref="A30:F30"/>
    <mergeCell ref="E31:E35"/>
    <mergeCell ref="E23:E27"/>
    <mergeCell ref="A112:F112"/>
    <mergeCell ref="A90:F90"/>
    <mergeCell ref="E85:E89"/>
    <mergeCell ref="F85:F89"/>
    <mergeCell ref="A54:F54"/>
    <mergeCell ref="E55:E60"/>
    <mergeCell ref="A80:F80"/>
    <mergeCell ref="A106:F106"/>
    <mergeCell ref="A110:F110"/>
    <mergeCell ref="A101:F101"/>
    <mergeCell ref="A92:F92"/>
    <mergeCell ref="E125:E126"/>
    <mergeCell ref="A115:F115"/>
    <mergeCell ref="A119:F119"/>
  </mergeCells>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Лист1</vt:lpstr>
      <vt:lpstr>Лист1!bugnotes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Ольга Салова</dc:creator>
  <cp:lastModifiedBy>Максим Дёмин</cp:lastModifiedBy>
  <dcterms:created xsi:type="dcterms:W3CDTF">2019-08-19T01:44:28Z</dcterms:created>
  <dcterms:modified xsi:type="dcterms:W3CDTF">2022-07-04T06:19:23Z</dcterms:modified>
</cp:coreProperties>
</file>